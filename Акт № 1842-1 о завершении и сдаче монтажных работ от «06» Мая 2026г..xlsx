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1842 Бункера на Крышках\"/>
    </mc:Choice>
  </mc:AlternateContent>
  <xr:revisionPtr revIDLastSave="0" documentId="13_ncr:1_{A5678C0E-C26F-4421-B7EF-FFEFEA6DE6FA}" xr6:coauthVersionLast="47" xr6:coauthVersionMax="47" xr10:uidLastSave="{00000000-0000-0000-0000-000000000000}"/>
  <bookViews>
    <workbookView xWindow="-28920" yWindow="-120" windowWidth="29040" windowHeight="15720" xr2:uid="{E8D0D1F0-D414-430B-AA82-0E6ABEC7E372}"/>
  </bookViews>
  <sheets>
    <sheet name="Лист1" sheetId="1" r:id="rId1"/>
  </sheets>
  <definedNames>
    <definedName name="_xlnm.Print_Area" localSheetId="0">Лист1!$A$1:$F$56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8" i="1" l="1"/>
</calcChain>
</file>

<file path=xl/sharedStrings.xml><?xml version="1.0" encoding="utf-8"?>
<sst xmlns="http://schemas.openxmlformats.org/spreadsheetml/2006/main" count="82" uniqueCount="72">
  <si>
    <t>Нижегородская область, г. Выкса,</t>
  </si>
  <si>
    <t>форма 1 ВСН 478-86</t>
  </si>
  <si>
    <t>Проммикрорайон №7, территория</t>
  </si>
  <si>
    <t>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</si>
  <si>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</si>
  <si>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</si>
  <si>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 и ее ведомственная принадлежность)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</si>
  <si>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</si>
  <si>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</si>
  <si>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</si>
  <si>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 и ее ведомственная принадлежность)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</si>
  <si>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</si>
  <si>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</si>
  <si>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 xml:space="preserve"> Вакуумный бункер загрузки добавок (Вакуумная крышка №1;№2;№3)</t>
  </si>
  <si>
    <t>«06» Мая 2026г.</t>
  </si>
  <si>
    <t>(наименование технологического узла)</t>
  </si>
  <si>
    <t>Акт № 1842/1 о завершении и сдаче монтажных работ</t>
  </si>
  <si>
    <t>ACT № 1842/1 on completion and acceptance of installation works</t>
  </si>
  <si>
    <t>№
 п/п</t>
  </si>
  <si>
    <t>Наименование и номер по рабочим чертежам/ 
Name and number according to working drawings</t>
  </si>
  <si>
    <t>Номер и наименование рабочих чертежей и эксплуатационной документации (инструкция по монтажу) предприятия-изготовителя/ 
Number and name of working drawings and operational documentation (installation instructions) of the manufacturer</t>
  </si>
  <si>
    <t xml:space="preserve">Заключение о результатах монтажных работ/ Conclusion on the results of installation works </t>
  </si>
  <si>
    <t>БУНКЕР В СБОРЕ ; Код детали: 000-000-037-454; Кол-во: 1шт; Вес общий: 2,69; Упак.№ 76229.</t>
  </si>
  <si>
    <t>Работы выполнены в соответствии с проектом/ 
Works performed in accordance with the project</t>
  </si>
  <si>
    <t>НИЖНЯЯ ЧАСТЬ ; Код детали: 5.425934.D/001; Кол-во: 1шт; Вес общий: 0,505; Упак.№ 76229.</t>
  </si>
  <si>
    <t>НИЖНЯЯ ЧАСТЬ ; Код детали: 5.425934.D/001; Кол-во: 1шт; Вес общий: 0,503; Упак.№ 76230.</t>
  </si>
  <si>
    <t>ТРУБА ; Код детали: 4.586418.P; Кол-во: 1шт; Вес общий: 0,003; Упак.№ 76230.</t>
  </si>
  <si>
    <t>БУНКЕР В СБОРЕ ; Код детали: 000-000-037-454; Кол-во: 1шт; Вес общий: 2,69; Упак.№ 76230.</t>
  </si>
  <si>
    <t>БУНКЕР В СБОРЕ ; Код детали: 000-000-037-454; Кол-во: 1шт; Вес общий: 2,487; Упак.№ 76231.</t>
  </si>
  <si>
    <t>ПОРУЧЕНЬ ; Код детали: 5.031045.L/037; Кол-во: 3шт; Вес общий: 0,029; Упак.№ 76231.</t>
  </si>
  <si>
    <t>ПОРУЧЕНЬ ; Код детали: 5.031045.L/013; Кол-во: 6шт; Вес общий: 0,066; Упак.№ 76231.</t>
  </si>
  <si>
    <t>ПОРУЧЕНЬ ; Код детали: 5.031045.L/020; Кол-во: 3шт; Вес общий: 0,044; Упак.№ 76231.</t>
  </si>
  <si>
    <t>ПОРУЧЕНЬ ; Код детали: 5.031045.L/054; Кол-во: 3шт; Вес общий: 0,063; Упак.№ 76231.</t>
  </si>
  <si>
    <t>ПОРУЧЕНЬ ; Код детали: 5.031045.L/055; Кол-во: 3шт; Вес общий: 0,066; Упак.№ 76231.</t>
  </si>
  <si>
    <t>ПОРУЧЕНЬ ; Код детали: 5.031045.L/010; Кол-во: 3шт; Вес общий: 0,06; Упак.№ 76231.</t>
  </si>
  <si>
    <t>ПОРУЧЕНЬ ; Код детали: 5.031045.L/018; Кол-во: 3шт; Вес общий: 0,021; Упак.№ 76231.</t>
  </si>
  <si>
    <t>ПОРУЧЕНЬ ; Код детали: 5.031045.L/029; Кол-во: 3шт; Вес общий: 0,065; Упак.№ 76231.</t>
  </si>
  <si>
    <t>ДОРОЖКА ; Код детали: 7.585136.G; Кол-во: 1шт; Вес общий: 0,94; Упак.№ 76232.</t>
  </si>
  <si>
    <t>ЛЕСТНИЦА ; Код детали: 7.585138.H; Кол-во: 1шт; Вес общий: 0,545; Упак.№ 76232.</t>
  </si>
  <si>
    <t>РАМКА ; Код детали: 7.585137.A; Кол-во: 1шт; Вес общий: 1,615; Упак.№ 76232.</t>
  </si>
  <si>
    <t>РАМКА ; Код детали: 7.585137.A; Кол-во: 1шт; Вес общий: 1,615; Упак.№ 76233.</t>
  </si>
  <si>
    <t>ЛЕСТНИЦА ; Код детали: 7.585138.H; Кол-во: 1шт; Вес общий: 0,545; Упак.№ 76233.</t>
  </si>
  <si>
    <t>ДОРОЖКА ; Код детали: 7.585136.G; Кол-во: 1шт; Вес общий: 0,94; Упак.№ 76233.</t>
  </si>
  <si>
    <t>ДОРОЖКА ; Код детали: 7.585136.G; Кол-во: 1шт; Вес общий: 0,94; Упак.№ 76234.</t>
  </si>
  <si>
    <t>ЛЕСТНИЦА ; Код детали: 7.585138.H; Кол-во: 1шт; Вес общий: 0,545; Упак.№ 76234.</t>
  </si>
  <si>
    <t>РАМКА ; Код детали: 7.585137.A; Кол-во: 1шт; Вес общий: 1,615; Упак.№ 76234.</t>
  </si>
  <si>
    <t>ВЕРХНЯЯ ЧАСТЬ ; Код детали: 5.425935.E; Кол-во: 1шт; Вес общий: 0,767; Упак.№ 76235.</t>
  </si>
  <si>
    <t>Вес 95% от объема:21,4тн.= 20,33тн</t>
  </si>
  <si>
    <t>Наименование организации/ Name of organization</t>
  </si>
  <si>
    <t>Представитель /
representative</t>
  </si>
  <si>
    <t>Должность/ 
position</t>
  </si>
  <si>
    <t xml:space="preserve">Ф.И.О./ 
Name </t>
  </si>
  <si>
    <t>Подпись/ 
Signature</t>
  </si>
  <si>
    <t>АО «ВМЗ» ДКС</t>
  </si>
  <si>
    <t>Руководитель проекта 
по монтажу технологического 
оборудования ЭМК ЭСПЦ</t>
  </si>
  <si>
    <t>Белоусов А.Г.</t>
  </si>
  <si>
    <t>Механик Участка</t>
  </si>
  <si>
    <t>Назаренко К.А.</t>
  </si>
  <si>
    <t>Ведущий инженер по гидравлическому оборудованию</t>
  </si>
  <si>
    <t>Катаев И.В.</t>
  </si>
  <si>
    <t>Ведущий инженер по монтажу механического оборудования УСК ДКС АО «ВМЗ»</t>
  </si>
  <si>
    <t>Сабко А.А.</t>
  </si>
  <si>
    <t>Danieli</t>
  </si>
  <si>
    <t>Представитель Danieli</t>
  </si>
  <si>
    <t>Серов Е.В.</t>
  </si>
  <si>
    <t>Технический руководитель проекта</t>
  </si>
  <si>
    <t>Глыжко Г. В.</t>
  </si>
  <si>
    <t xml:space="preserve">
Рабочие чертежи фирмы Danieli
DPC13Y141842
8.844233.В
Рабочие чертежи  
АО «Магнитогорский гипромез»
М80080.04.03-ТХ1
Электросталеплавильный цех (ЭСПЦ).
Участок внепечной обработки стали.
Вакууматор.
</t>
  </si>
  <si>
    <t xml:space="preserve">Приложение: Исполнительная схема №Д-1 плановое положение бункера на ВК№1; Исполнительная схема №Д-4 плановое положение бункера на ВК№2;Исполнительная схема №Д-7 плановое положение бункера на ВК№3; </t>
  </si>
  <si>
    <t xml:space="preserve">Руководитель проекта </t>
  </si>
  <si>
    <t>Киринов А.В.</t>
  </si>
  <si>
    <t>ООО «Меридиан-Строй»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</si>
</sst>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00000"/>
    <numFmt numFmtId="166" formatCode="0.0000"/>
  </numFmts>
  <fonts count="13" x14ac:knownFonts="1">
    <font>
      <sz val="11"/>
      <color theme="1"/>
      <name val="Aptos Narrow"/>
      <family val="2"/>
      <charset val="204"/>
      <scheme val="minor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1"/>
      <color theme="1"/>
      <name val="Arial"/>
      <family val="2"/>
      <charset val="204"/>
    </font>
    <font>
      <i/>
      <sz val="11"/>
      <name val="Arial"/>
      <family val="2"/>
      <charset val="204"/>
    </font>
    <font>
      <sz val="11"/>
      <name val="Arial"/>
      <family val="2"/>
      <charset val="204"/>
    </font>
    <font>
      <i/>
      <sz val="8"/>
      <name val="Arial"/>
      <family val="2"/>
      <charset val="204"/>
    </font>
    <font>
      <b/>
      <u/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1" fillId="0" borderId="0"/>
  </cellStyleXfs>
  <cellXfs count="72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1" fillId="0" borderId="1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5" fillId="0" borderId="0" xfId="1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1" applyFont="1" applyAlignment="1">
      <alignment vertic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6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0" fontId="6" fillId="0" borderId="0" xfId="0" applyFont="1" applyAlignment="1">
      <alignment horizontal="center"/>
    </xf>
    <xf numFmtId="0" fontId="5" fillId="0" borderId="0" xfId="1" applyFont="1" applyAlignment="1">
      <alignment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164" fontId="3" fillId="0" borderId="0" xfId="0" applyNumberFormat="1" applyFont="1"/>
    <xf numFmtId="0" fontId="4" fillId="0" borderId="5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/>
    </xf>
    <xf numFmtId="165" fontId="3" fillId="0" borderId="0" xfId="0" applyNumberFormat="1" applyFont="1"/>
    <xf numFmtId="166" fontId="3" fillId="0" borderId="0" xfId="0" applyNumberFormat="1" applyFont="1"/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4" fillId="0" borderId="3" xfId="1" applyFont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14" fontId="4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9" fillId="0" borderId="7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12" fillId="0" borderId="5" xfId="2" applyFont="1" applyBorder="1" applyAlignment="1">
      <alignment horizontal="left" vertical="center" wrapText="1"/>
    </xf>
    <xf numFmtId="0" fontId="12" fillId="0" borderId="2" xfId="2" applyFont="1" applyBorder="1" applyAlignment="1">
      <alignment horizontal="left" vertical="center" wrapText="1"/>
    </xf>
    <xf numFmtId="0" fontId="12" fillId="0" borderId="6" xfId="2" applyFont="1" applyBorder="1" applyAlignment="1">
      <alignment horizontal="left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9" fillId="0" borderId="4" xfId="0" applyFont="1" applyFill="1" applyBorder="1" applyAlignment="1">
      <alignment horizontal="left" vertical="center" wrapText="1"/>
    </xf>
  </cellXfs>
  <cellStyles count="3">
    <cellStyle name="Обычный" xfId="0" builtinId="0"/>
    <cellStyle name="Обычный 5" xfId="2" xr:uid="{DE69B935-9994-4649-AF19-215392123424}"/>
    <cellStyle name="Обычный_Пример акта" xfId="1" xr:uid="{87E4048B-7D5A-4937-95D5-3F18CF8CB0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E5FA5-28A0-4D8E-BBD9-8396DBD49B89}">
  <sheetPr>
    <pageSetUpPr fitToPage="1"/>
  </sheetPr>
  <dimension ref="A1:N56"/>
  <sheetViews>
    <sheetView tabSelected="1" view="pageBreakPreview" topLeftCell="A46" zoomScale="85" zoomScaleNormal="100" zoomScaleSheetLayoutView="85" workbookViewId="0">
      <selection activeCell="A55" sqref="A55:B55"/>
    </sheetView>
  </sheetViews>
  <sheetFormatPr defaultRowHeight="13.8" x14ac:dyDescent="0.25"/>
  <cols>
    <col min="1" max="1" width="6.77734375" style="5" customWidth="1"/>
    <col min="2" max="2" width="68.5546875" style="5" customWidth="1"/>
    <col min="3" max="3" width="43.6640625" style="5" customWidth="1"/>
    <col min="4" max="4" width="11.21875" style="5" customWidth="1"/>
    <col min="5" max="5" width="12.77734375" style="5" customWidth="1"/>
    <col min="6" max="6" width="17.44140625" style="5" customWidth="1"/>
    <col min="7" max="7" width="25.6640625" style="5" customWidth="1"/>
    <col min="8" max="8" width="14.33203125" style="5" customWidth="1"/>
    <col min="9" max="9" width="8.88671875" style="5"/>
    <col min="10" max="10" width="15.109375" style="5" customWidth="1"/>
    <col min="11" max="11" width="17.77734375" style="5" customWidth="1"/>
    <col min="12" max="12" width="13.44140625" style="5" bestFit="1" customWidth="1"/>
    <col min="13" max="13" width="8.88671875" style="5"/>
    <col min="14" max="14" width="9.88671875" style="5" bestFit="1" customWidth="1"/>
    <col min="15" max="16384" width="8.88671875" style="5"/>
  </cols>
  <sheetData>
    <row r="1" spans="1:6" ht="13.8" customHeight="1" x14ac:dyDescent="0.25">
      <c r="A1" s="1"/>
      <c r="B1" s="2" t="s">
        <v>0</v>
      </c>
      <c r="C1" s="3"/>
      <c r="D1" s="3"/>
      <c r="E1" s="3"/>
      <c r="F1" s="4" t="s">
        <v>1</v>
      </c>
    </row>
    <row r="2" spans="1:6" ht="13.8" customHeight="1" x14ac:dyDescent="0.25">
      <c r="A2" s="6"/>
      <c r="B2" s="7" t="s">
        <v>2</v>
      </c>
      <c r="C2" s="4"/>
      <c r="D2" s="4"/>
      <c r="E2" s="4"/>
      <c r="F2" s="4"/>
    </row>
    <row r="3" spans="1:6" ht="17.399999999999999" customHeight="1" x14ac:dyDescent="0.3">
      <c r="A3" s="8"/>
      <c r="B3" s="9" t="s">
        <v>3</v>
      </c>
      <c r="C3" s="10"/>
      <c r="D3" s="38" t="s">
        <v>4</v>
      </c>
      <c r="E3" s="38"/>
      <c r="F3" s="38"/>
    </row>
    <row r="4" spans="1:6" ht="21.6" customHeight="1" x14ac:dyDescent="0.25">
      <c r="A4" s="11"/>
      <c r="B4" s="12" t="s">
        <v>5</v>
      </c>
      <c r="C4" s="13"/>
      <c r="D4" s="39" t="s">
        <v>6</v>
      </c>
      <c r="E4" s="39"/>
      <c r="F4" s="39"/>
    </row>
    <row r="5" spans="1:6" ht="27" customHeight="1" thickBot="1" x14ac:dyDescent="0.35">
      <c r="A5" s="14"/>
      <c r="B5" s="15" t="s">
        <v>7</v>
      </c>
      <c r="C5" s="10"/>
      <c r="D5" s="40" t="s">
        <v>8</v>
      </c>
      <c r="E5" s="40"/>
      <c r="F5" s="40"/>
    </row>
    <row r="6" spans="1:6" ht="21.6" customHeight="1" x14ac:dyDescent="0.25">
      <c r="A6" s="16"/>
      <c r="B6" s="12" t="s">
        <v>9</v>
      </c>
      <c r="C6" s="13"/>
      <c r="D6" s="41" t="s">
        <v>10</v>
      </c>
      <c r="E6" s="41"/>
      <c r="F6" s="41"/>
    </row>
    <row r="7" spans="1:6" ht="18.75" customHeight="1" x14ac:dyDescent="0.3">
      <c r="A7" s="42"/>
      <c r="B7" s="42"/>
      <c r="C7" s="42"/>
      <c r="D7" s="42"/>
      <c r="E7" s="42"/>
      <c r="F7" s="42"/>
    </row>
    <row r="8" spans="1:6" ht="46.8" customHeight="1" x14ac:dyDescent="0.3">
      <c r="A8" s="8"/>
      <c r="B8" s="17" t="s">
        <v>11</v>
      </c>
      <c r="C8" s="18"/>
      <c r="D8" s="18"/>
      <c r="E8" s="18"/>
      <c r="F8" s="18"/>
    </row>
    <row r="9" spans="1:6" ht="16.2" customHeight="1" x14ac:dyDescent="0.25">
      <c r="A9" s="11"/>
      <c r="B9" s="12" t="s">
        <v>12</v>
      </c>
      <c r="C9" s="11"/>
      <c r="D9" s="11"/>
      <c r="E9" s="11"/>
      <c r="F9" s="11"/>
    </row>
    <row r="10" spans="1:6" ht="36" customHeight="1" x14ac:dyDescent="0.3">
      <c r="A10" s="8"/>
      <c r="B10" s="17" t="s">
        <v>13</v>
      </c>
      <c r="C10" s="16"/>
      <c r="D10" s="43" t="s">
        <v>14</v>
      </c>
      <c r="E10" s="44"/>
      <c r="F10" s="44"/>
    </row>
    <row r="11" spans="1:6" ht="14.1" customHeight="1" x14ac:dyDescent="0.25">
      <c r="A11" s="16"/>
      <c r="B11" s="19" t="s">
        <v>15</v>
      </c>
      <c r="D11" s="16"/>
      <c r="E11" s="16"/>
      <c r="F11" s="13"/>
    </row>
    <row r="12" spans="1:6" ht="14.1" hidden="1" customHeight="1" x14ac:dyDescent="0.25">
      <c r="A12" s="16"/>
      <c r="B12" s="19"/>
      <c r="C12" s="16"/>
      <c r="D12" s="16"/>
      <c r="E12" s="16"/>
      <c r="F12" s="13"/>
    </row>
    <row r="13" spans="1:6" ht="14.1" hidden="1" customHeight="1" x14ac:dyDescent="0.25">
      <c r="A13" s="16">
        <v>3321</v>
      </c>
      <c r="B13" s="19"/>
      <c r="C13" s="16"/>
      <c r="D13" s="16"/>
      <c r="E13" s="16"/>
      <c r="F13" s="13"/>
    </row>
    <row r="14" spans="1:6" ht="14.1" customHeight="1" x14ac:dyDescent="0.25">
      <c r="A14" s="3"/>
      <c r="B14" s="3"/>
      <c r="C14" s="20"/>
      <c r="D14" s="20"/>
      <c r="E14" s="20"/>
      <c r="F14" s="20"/>
    </row>
    <row r="15" spans="1:6" ht="21.6" customHeight="1" x14ac:dyDescent="0.25">
      <c r="A15" s="45" t="s">
        <v>16</v>
      </c>
      <c r="B15" s="45"/>
      <c r="C15" s="45"/>
      <c r="D15" s="45"/>
      <c r="E15" s="45"/>
      <c r="F15" s="45"/>
    </row>
    <row r="16" spans="1:6" ht="21.6" customHeight="1" x14ac:dyDescent="0.25">
      <c r="A16" s="45" t="s">
        <v>17</v>
      </c>
      <c r="B16" s="46"/>
      <c r="C16" s="46"/>
      <c r="D16" s="46"/>
      <c r="E16" s="46"/>
      <c r="F16" s="46"/>
    </row>
    <row r="17" spans="1:6" ht="126.6" customHeight="1" x14ac:dyDescent="0.25">
      <c r="A17" s="21" t="s">
        <v>18</v>
      </c>
      <c r="B17" s="22" t="s">
        <v>19</v>
      </c>
      <c r="C17" s="23" t="s">
        <v>20</v>
      </c>
      <c r="D17" s="47" t="s">
        <v>21</v>
      </c>
      <c r="E17" s="48"/>
      <c r="F17" s="49"/>
    </row>
    <row r="18" spans="1:6" ht="45" customHeight="1" x14ac:dyDescent="0.25">
      <c r="A18" s="21">
        <v>1</v>
      </c>
      <c r="B18" s="24" t="s">
        <v>22</v>
      </c>
      <c r="C18" s="50" t="s">
        <v>67</v>
      </c>
      <c r="D18" s="52" t="s">
        <v>23</v>
      </c>
      <c r="E18" s="53"/>
      <c r="F18" s="54"/>
    </row>
    <row r="19" spans="1:6" ht="45" customHeight="1" x14ac:dyDescent="0.25">
      <c r="A19" s="21">
        <v>2</v>
      </c>
      <c r="B19" s="24" t="s">
        <v>24</v>
      </c>
      <c r="C19" s="51"/>
      <c r="D19" s="55"/>
      <c r="E19" s="56"/>
      <c r="F19" s="57"/>
    </row>
    <row r="20" spans="1:6" ht="45" customHeight="1" x14ac:dyDescent="0.25">
      <c r="A20" s="21">
        <v>3</v>
      </c>
      <c r="B20" s="24" t="s">
        <v>24</v>
      </c>
      <c r="C20" s="51"/>
      <c r="D20" s="55"/>
      <c r="E20" s="56"/>
      <c r="F20" s="57"/>
    </row>
    <row r="21" spans="1:6" ht="45" customHeight="1" x14ac:dyDescent="0.25">
      <c r="A21" s="21">
        <v>4</v>
      </c>
      <c r="B21" s="24" t="s">
        <v>25</v>
      </c>
      <c r="C21" s="51"/>
      <c r="D21" s="55"/>
      <c r="E21" s="56"/>
      <c r="F21" s="57"/>
    </row>
    <row r="22" spans="1:6" ht="45" customHeight="1" x14ac:dyDescent="0.25">
      <c r="A22" s="21">
        <v>5</v>
      </c>
      <c r="B22" s="24" t="s">
        <v>26</v>
      </c>
      <c r="C22" s="51"/>
      <c r="D22" s="25"/>
      <c r="E22" s="26"/>
      <c r="F22" s="26"/>
    </row>
    <row r="23" spans="1:6" ht="45" customHeight="1" x14ac:dyDescent="0.25">
      <c r="A23" s="21">
        <v>6</v>
      </c>
      <c r="B23" s="24" t="s">
        <v>26</v>
      </c>
      <c r="C23" s="27"/>
      <c r="D23" s="25"/>
      <c r="E23" s="26"/>
      <c r="F23" s="26"/>
    </row>
    <row r="24" spans="1:6" ht="45" customHeight="1" x14ac:dyDescent="0.25">
      <c r="A24" s="21">
        <v>7</v>
      </c>
      <c r="B24" s="24" t="s">
        <v>26</v>
      </c>
      <c r="C24" s="27"/>
      <c r="D24" s="25"/>
      <c r="E24" s="26"/>
      <c r="F24" s="26"/>
    </row>
    <row r="25" spans="1:6" ht="45" customHeight="1" x14ac:dyDescent="0.25">
      <c r="A25" s="21">
        <v>8</v>
      </c>
      <c r="B25" s="24" t="s">
        <v>27</v>
      </c>
      <c r="C25" s="27"/>
      <c r="D25" s="25"/>
      <c r="E25" s="26"/>
      <c r="F25" s="26"/>
    </row>
    <row r="26" spans="1:6" ht="45" customHeight="1" x14ac:dyDescent="0.25">
      <c r="A26" s="21">
        <v>9</v>
      </c>
      <c r="B26" s="24" t="s">
        <v>28</v>
      </c>
      <c r="C26" s="27"/>
      <c r="D26" s="25"/>
      <c r="E26" s="26"/>
      <c r="F26" s="26"/>
    </row>
    <row r="27" spans="1:6" ht="45" customHeight="1" x14ac:dyDescent="0.25">
      <c r="A27" s="21">
        <v>10</v>
      </c>
      <c r="B27" s="24" t="s">
        <v>29</v>
      </c>
      <c r="C27" s="27"/>
      <c r="D27" s="25"/>
      <c r="E27" s="26"/>
      <c r="F27" s="26"/>
    </row>
    <row r="28" spans="1:6" ht="45" customHeight="1" x14ac:dyDescent="0.25">
      <c r="A28" s="21">
        <v>11</v>
      </c>
      <c r="B28" s="24" t="s">
        <v>30</v>
      </c>
      <c r="C28" s="27"/>
      <c r="D28" s="25"/>
      <c r="E28" s="26"/>
      <c r="F28" s="26"/>
    </row>
    <row r="29" spans="1:6" ht="45" customHeight="1" x14ac:dyDescent="0.25">
      <c r="A29" s="21">
        <v>12</v>
      </c>
      <c r="B29" s="24" t="s">
        <v>31</v>
      </c>
      <c r="C29" s="27"/>
      <c r="D29" s="25"/>
      <c r="E29" s="26"/>
      <c r="F29" s="26"/>
    </row>
    <row r="30" spans="1:6" ht="45" customHeight="1" x14ac:dyDescent="0.25">
      <c r="A30" s="21">
        <v>13</v>
      </c>
      <c r="B30" s="24" t="s">
        <v>32</v>
      </c>
      <c r="C30" s="27"/>
      <c r="D30" s="25"/>
      <c r="E30" s="26"/>
      <c r="F30" s="26"/>
    </row>
    <row r="31" spans="1:6" ht="45" customHeight="1" x14ac:dyDescent="0.25">
      <c r="A31" s="21">
        <v>14</v>
      </c>
      <c r="B31" s="24" t="s">
        <v>33</v>
      </c>
      <c r="C31" s="27"/>
      <c r="D31" s="25"/>
      <c r="E31" s="26"/>
      <c r="F31" s="26"/>
    </row>
    <row r="32" spans="1:6" ht="45" customHeight="1" x14ac:dyDescent="0.25">
      <c r="A32" s="21">
        <v>15</v>
      </c>
      <c r="B32" s="24" t="s">
        <v>34</v>
      </c>
      <c r="C32" s="27"/>
      <c r="D32" s="25"/>
      <c r="E32" s="26"/>
      <c r="F32" s="26"/>
    </row>
    <row r="33" spans="1:7" ht="45" customHeight="1" x14ac:dyDescent="0.25">
      <c r="A33" s="21">
        <v>16</v>
      </c>
      <c r="B33" s="24" t="s">
        <v>35</v>
      </c>
      <c r="C33" s="27"/>
      <c r="D33" s="25"/>
      <c r="E33" s="26"/>
      <c r="F33" s="26"/>
    </row>
    <row r="34" spans="1:7" ht="45" customHeight="1" x14ac:dyDescent="0.25">
      <c r="A34" s="21">
        <v>17</v>
      </c>
      <c r="B34" s="24" t="s">
        <v>36</v>
      </c>
      <c r="C34" s="27"/>
      <c r="D34" s="25"/>
      <c r="E34" s="26"/>
      <c r="F34" s="26"/>
    </row>
    <row r="35" spans="1:7" ht="45" customHeight="1" x14ac:dyDescent="0.25">
      <c r="A35" s="21">
        <v>18</v>
      </c>
      <c r="B35" s="24" t="s">
        <v>37</v>
      </c>
      <c r="C35" s="27"/>
      <c r="D35" s="25"/>
      <c r="E35" s="26"/>
      <c r="F35" s="26"/>
    </row>
    <row r="36" spans="1:7" ht="45" customHeight="1" x14ac:dyDescent="0.25">
      <c r="A36" s="21">
        <v>19</v>
      </c>
      <c r="B36" s="24" t="s">
        <v>38</v>
      </c>
      <c r="C36" s="27"/>
      <c r="D36" s="25"/>
      <c r="E36" s="26"/>
      <c r="F36" s="26"/>
    </row>
    <row r="37" spans="1:7" ht="45" customHeight="1" x14ac:dyDescent="0.25">
      <c r="A37" s="21">
        <v>20</v>
      </c>
      <c r="B37" s="24" t="s">
        <v>39</v>
      </c>
      <c r="C37" s="27"/>
      <c r="D37" s="25"/>
      <c r="E37" s="26"/>
      <c r="F37" s="26"/>
    </row>
    <row r="38" spans="1:7" ht="45" customHeight="1" x14ac:dyDescent="0.25">
      <c r="A38" s="21">
        <v>21</v>
      </c>
      <c r="B38" s="24" t="s">
        <v>40</v>
      </c>
      <c r="C38" s="27"/>
      <c r="D38" s="25"/>
      <c r="E38" s="26"/>
      <c r="F38" s="26"/>
    </row>
    <row r="39" spans="1:7" ht="45" customHeight="1" x14ac:dyDescent="0.25">
      <c r="A39" s="21">
        <v>22</v>
      </c>
      <c r="B39" s="24" t="s">
        <v>41</v>
      </c>
      <c r="C39" s="27"/>
      <c r="D39" s="25"/>
      <c r="E39" s="26"/>
      <c r="F39" s="26"/>
    </row>
    <row r="40" spans="1:7" ht="45" customHeight="1" x14ac:dyDescent="0.25">
      <c r="A40" s="21">
        <v>23</v>
      </c>
      <c r="B40" s="24" t="s">
        <v>42</v>
      </c>
      <c r="C40" s="27"/>
      <c r="D40" s="25"/>
      <c r="E40" s="26"/>
      <c r="F40" s="26"/>
    </row>
    <row r="41" spans="1:7" ht="45" customHeight="1" x14ac:dyDescent="0.25">
      <c r="A41" s="21">
        <v>24</v>
      </c>
      <c r="B41" s="24" t="s">
        <v>43</v>
      </c>
      <c r="C41" s="27"/>
      <c r="D41" s="25"/>
      <c r="E41" s="26"/>
      <c r="F41" s="26"/>
    </row>
    <row r="42" spans="1:7" ht="45" customHeight="1" x14ac:dyDescent="0.25">
      <c r="A42" s="21">
        <v>25</v>
      </c>
      <c r="B42" s="24" t="s">
        <v>44</v>
      </c>
      <c r="C42" s="27"/>
      <c r="D42" s="25"/>
      <c r="E42" s="26"/>
      <c r="F42" s="26"/>
    </row>
    <row r="43" spans="1:7" ht="45" customHeight="1" x14ac:dyDescent="0.25">
      <c r="A43" s="21">
        <v>26</v>
      </c>
      <c r="B43" s="24" t="s">
        <v>45</v>
      </c>
      <c r="C43" s="27"/>
      <c r="D43" s="25"/>
      <c r="E43" s="26"/>
      <c r="F43" s="26"/>
    </row>
    <row r="44" spans="1:7" ht="45" customHeight="1" x14ac:dyDescent="0.25">
      <c r="A44" s="21">
        <v>27</v>
      </c>
      <c r="B44" s="24" t="s">
        <v>46</v>
      </c>
      <c r="C44" s="27"/>
      <c r="D44" s="25"/>
      <c r="E44" s="26"/>
      <c r="F44" s="26"/>
    </row>
    <row r="45" spans="1:7" ht="45" customHeight="1" x14ac:dyDescent="0.25">
      <c r="A45" s="21">
        <v>28</v>
      </c>
      <c r="B45" s="24" t="s">
        <v>46</v>
      </c>
      <c r="C45" s="27"/>
      <c r="D45" s="25"/>
      <c r="E45" s="26"/>
      <c r="F45" s="26"/>
    </row>
    <row r="46" spans="1:7" ht="45" customHeight="1" x14ac:dyDescent="0.25">
      <c r="A46" s="21">
        <v>29</v>
      </c>
      <c r="B46" s="24" t="s">
        <v>46</v>
      </c>
      <c r="C46" s="27"/>
      <c r="D46" s="25"/>
      <c r="E46" s="26"/>
      <c r="F46" s="26"/>
    </row>
    <row r="47" spans="1:7" ht="35.4" customHeight="1" x14ac:dyDescent="0.25">
      <c r="A47" s="71" t="s">
        <v>68</v>
      </c>
      <c r="B47" s="71"/>
      <c r="C47" s="71"/>
      <c r="D47" s="71"/>
      <c r="E47" s="71"/>
      <c r="F47" s="71"/>
    </row>
    <row r="48" spans="1:7" ht="31.8" customHeight="1" x14ac:dyDescent="0.25">
      <c r="A48" s="58" t="s">
        <v>47</v>
      </c>
      <c r="B48" s="59"/>
      <c r="C48" s="59"/>
      <c r="D48" s="59"/>
      <c r="E48" s="59"/>
      <c r="F48" s="60"/>
      <c r="G48" s="5">
        <f>21.4*0.95</f>
        <v>20.329999999999998</v>
      </c>
    </row>
    <row r="49" spans="1:14" ht="34.200000000000003" customHeight="1" x14ac:dyDescent="0.25">
      <c r="A49" s="61" t="s">
        <v>48</v>
      </c>
      <c r="B49" s="62"/>
      <c r="C49" s="47" t="s">
        <v>49</v>
      </c>
      <c r="D49" s="48"/>
      <c r="E49" s="48"/>
      <c r="F49" s="48"/>
    </row>
    <row r="50" spans="1:14" ht="33" customHeight="1" x14ac:dyDescent="0.25">
      <c r="A50" s="63"/>
      <c r="B50" s="64"/>
      <c r="C50" s="23" t="s">
        <v>50</v>
      </c>
      <c r="D50" s="47" t="s">
        <v>51</v>
      </c>
      <c r="E50" s="49"/>
      <c r="F50" s="28" t="s">
        <v>52</v>
      </c>
      <c r="L50" s="29"/>
    </row>
    <row r="51" spans="1:14" ht="42" customHeight="1" x14ac:dyDescent="0.25">
      <c r="A51" s="65" t="s">
        <v>53</v>
      </c>
      <c r="B51" s="65"/>
      <c r="C51" s="30" t="s">
        <v>54</v>
      </c>
      <c r="D51" s="66" t="s">
        <v>55</v>
      </c>
      <c r="E51" s="67"/>
      <c r="F51" s="31"/>
      <c r="L51" s="32"/>
      <c r="N51" s="33"/>
    </row>
    <row r="52" spans="1:14" ht="42" customHeight="1" x14ac:dyDescent="0.25">
      <c r="A52" s="65" t="s">
        <v>4</v>
      </c>
      <c r="B52" s="65"/>
      <c r="C52" s="30" t="s">
        <v>56</v>
      </c>
      <c r="D52" s="66" t="s">
        <v>57</v>
      </c>
      <c r="E52" s="67"/>
      <c r="F52" s="31"/>
      <c r="G52" s="30" t="s">
        <v>58</v>
      </c>
      <c r="H52" s="34" t="s">
        <v>59</v>
      </c>
      <c r="I52" s="30" t="s">
        <v>56</v>
      </c>
      <c r="J52" s="34" t="s">
        <v>57</v>
      </c>
      <c r="K52" s="34"/>
      <c r="L52" s="35"/>
    </row>
    <row r="53" spans="1:14" ht="42" customHeight="1" x14ac:dyDescent="0.25">
      <c r="A53" s="65" t="s">
        <v>4</v>
      </c>
      <c r="B53" s="65"/>
      <c r="C53" s="30" t="s">
        <v>60</v>
      </c>
      <c r="D53" s="66" t="s">
        <v>61</v>
      </c>
      <c r="E53" s="67"/>
      <c r="F53" s="31"/>
    </row>
    <row r="54" spans="1:14" ht="42" customHeight="1" x14ac:dyDescent="0.25">
      <c r="A54" s="65" t="s">
        <v>62</v>
      </c>
      <c r="B54" s="65"/>
      <c r="C54" s="30" t="s">
        <v>63</v>
      </c>
      <c r="D54" s="69" t="s">
        <v>64</v>
      </c>
      <c r="E54" s="70"/>
      <c r="F54" s="31"/>
    </row>
    <row r="55" spans="1:14" ht="42" customHeight="1" x14ac:dyDescent="0.25">
      <c r="A55" s="68" t="s">
        <v>8</v>
      </c>
      <c r="B55" s="68"/>
      <c r="C55" s="30" t="s">
        <v>65</v>
      </c>
      <c r="D55" s="66" t="s">
        <v>66</v>
      </c>
      <c r="E55" s="67"/>
      <c r="F55" s="31"/>
    </row>
    <row r="56" spans="1:14" ht="42" customHeight="1" x14ac:dyDescent="0.25">
      <c r="A56" s="68" t="s">
        <v>71</v>
      </c>
      <c r="B56" s="68"/>
      <c r="C56" s="37" t="s">
        <v>69</v>
      </c>
      <c r="D56" s="66" t="s">
        <v>70</v>
      </c>
      <c r="E56" s="67"/>
      <c r="F56" s="36"/>
    </row>
  </sheetData>
  <mergeCells count="28">
    <mergeCell ref="A56:B56"/>
    <mergeCell ref="D56:E56"/>
    <mergeCell ref="A55:B55"/>
    <mergeCell ref="D55:E55"/>
    <mergeCell ref="A52:B52"/>
    <mergeCell ref="D52:E52"/>
    <mergeCell ref="A53:B53"/>
    <mergeCell ref="D53:E53"/>
    <mergeCell ref="A54:B54"/>
    <mergeCell ref="D54:E54"/>
    <mergeCell ref="A48:F48"/>
    <mergeCell ref="A49:B50"/>
    <mergeCell ref="C49:F49"/>
    <mergeCell ref="D50:E50"/>
    <mergeCell ref="A51:B51"/>
    <mergeCell ref="D51:E51"/>
    <mergeCell ref="A47:F47"/>
    <mergeCell ref="D3:F3"/>
    <mergeCell ref="D4:F4"/>
    <mergeCell ref="D5:F5"/>
    <mergeCell ref="D6:F6"/>
    <mergeCell ref="A7:F7"/>
    <mergeCell ref="D10:F10"/>
    <mergeCell ref="A15:F15"/>
    <mergeCell ref="A16:F16"/>
    <mergeCell ref="D17:F17"/>
    <mergeCell ref="C18:C22"/>
    <mergeCell ref="D18:F21"/>
  </mergeCells>
  <pageMargins left="0.7" right="0.7" top="0.75" bottom="0.75" header="0.3" footer="0.3"/>
  <pageSetup paperSize="9" scale="5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Венедиктов</dc:creator>
  <cp:lastModifiedBy>Денис Венедиктов</cp:lastModifiedBy>
  <cp:lastPrinted>2026-05-07T07:59:59Z</cp:lastPrinted>
  <dcterms:created xsi:type="dcterms:W3CDTF">2026-05-06T10:57:53Z</dcterms:created>
  <dcterms:modified xsi:type="dcterms:W3CDTF">2026-05-07T08:00:37Z</dcterms:modified>
</cp:coreProperties>
</file>