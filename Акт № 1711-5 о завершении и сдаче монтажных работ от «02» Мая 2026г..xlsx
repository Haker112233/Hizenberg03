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2.150\100tonn\PTO\2. Проект 6955 Вакууматор, АПК Эколант\Акты\Монтаж оборудования\1. Акты по норме\1711 Устройство подъема поворотов электродов\30%\"/>
    </mc:Choice>
  </mc:AlternateContent>
  <xr:revisionPtr revIDLastSave="0" documentId="13_ncr:1_{14CBB3F6-A1B6-407A-8626-1541A90C489C}" xr6:coauthVersionLast="47" xr6:coauthVersionMax="47" xr10:uidLastSave="{00000000-0000-0000-0000-000000000000}"/>
  <bookViews>
    <workbookView xWindow="-28920" yWindow="-120" windowWidth="29040" windowHeight="15720" xr2:uid="{DDCEB0BB-CF84-44DB-8032-BC8E1E3BD3E1}"/>
  </bookViews>
  <sheets>
    <sheet name="Лист1" sheetId="1" r:id="rId1"/>
  </sheets>
  <definedNames>
    <definedName name="_xlnm.Print_Area" localSheetId="0">Лист1!$A$1:$F$29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2" i="1" l="1"/>
  <c r="J22" i="1" l="1"/>
</calcChain>
</file>

<file path=xl/sharedStrings.xml><?xml version="1.0" encoding="utf-8"?>
<sst xmlns="http://schemas.openxmlformats.org/spreadsheetml/2006/main" count="49" uniqueCount="46">
  <si>
    <t>Нижегородская область, г. Выкса,</t>
  </si>
  <si>
    <t>форма 1 ВСН 478-86</t>
  </si>
  <si>
    <t>Проммикрорайон №7, территория</t>
  </si>
  <si>
    <t>с южной стороны ЛПК АО «ВМЗ»</t>
  </si>
  <si>
    <t>ООО «ЭКОЛАНТ»</t>
  </si>
  <si>
    <t xml:space="preserve">(место строительства предприятия) </t>
  </si>
  <si>
    <t>(наименование генподрядной организации и ее ведомственная принадлежность)</t>
  </si>
  <si>
    <t>АО"ВМЗ"</t>
  </si>
  <si>
    <t>ООО «100 Тонн Монтаж»</t>
  </si>
  <si>
    <t xml:space="preserve"> (наименование предприятия технического заказчика)</t>
  </si>
  <si>
    <t>(наименование монтажной организации и ее ведомственная принадлежность)</t>
  </si>
  <si>
    <t>Электрометаллургический комплекс. Нижегородская обл., г. Выкса. Проммикрорайон №7</t>
  </si>
  <si>
    <t>(наименование сооружаемого объекта)</t>
  </si>
  <si>
    <t xml:space="preserve"> Устройство подъема и поворота электродов АПК№2</t>
  </si>
  <si>
    <t>(наименование технологического узла)</t>
  </si>
  <si>
    <t>№
 п/п</t>
  </si>
  <si>
    <t>Наименование и номер по рабочим чертежам/ 
Name and number according to working drawings</t>
  </si>
  <si>
    <t>Номер и наименование рабочих чертежей и эксплуатационной документации (инструкция по монтажу) предприятия-изготовителя/ 
Number and name of working drawings and operational documentation (installation instructions) of the manufacturer</t>
  </si>
  <si>
    <t xml:space="preserve">Заключение о результатах монтажных работ/ Conclusion on the results of installation works </t>
  </si>
  <si>
    <t xml:space="preserve">
Рабочие чертежи фирмы Danieli
DPC13Y141711
черт. 8.834157.W
Рабочие чертежи  
АО «Магнитогорский гипромез»
М80080.04.02-ТХ1
Электросталеплавильный цех (ЭСПЦ).
Участок внепечной обработки стали.
АПК №2;</t>
  </si>
  <si>
    <t>Работы выполнены в соответствии с проектом/ 
Works performed in accordance with the project</t>
  </si>
  <si>
    <t>Наименование организации/ Name of organization</t>
  </si>
  <si>
    <t>Представитель /
representative</t>
  </si>
  <si>
    <t>Должность/ 
position</t>
  </si>
  <si>
    <t xml:space="preserve">Ф.И.О./ 
Name </t>
  </si>
  <si>
    <t>Подпись/ 
Signature</t>
  </si>
  <si>
    <t>АО «ВМЗ» ДКС</t>
  </si>
  <si>
    <t>Белоусов А.Г.</t>
  </si>
  <si>
    <t>Механик Участка</t>
  </si>
  <si>
    <t>Назаренко К.А.</t>
  </si>
  <si>
    <t>Ведущий инженер по монтажу механического обрудования УСК ДКС "ВМЗ"</t>
  </si>
  <si>
    <t>Сабко А.А.</t>
  </si>
  <si>
    <t>Danieli</t>
  </si>
  <si>
    <t>Представитель Danieli</t>
  </si>
  <si>
    <t>Технический руководитель проекта</t>
  </si>
  <si>
    <t>Глыжко Г. В.</t>
  </si>
  <si>
    <t>«02» Мая 2026г.</t>
  </si>
  <si>
    <t>Акт № 1711/5 о завершении и сдаче монтажных работ</t>
  </si>
  <si>
    <t>ACT № 1711/5 on completion and acceptance of installation works</t>
  </si>
  <si>
    <t>Плита основания; Код детали: 7.481287.N; Кол-во: 1шт; Вес общий: 6,235тн; Упак.№ 500239.</t>
  </si>
  <si>
    <t>Руководитель проекта 
по монтажу технологического 
оборудования ЭМК ЭСПЦ</t>
  </si>
  <si>
    <t>Серов Е.В.</t>
  </si>
  <si>
    <t>Колонна; Код детали: 7.481228.W; Кол-во: 1шт; Вес общий: 6,012тн; Упак.№ 500274.</t>
  </si>
  <si>
    <t>Колонна; Код детали: 7.481228.W; Кол-во: 1шт; Вес общий: 6,011тн; Упак.№ 500275.</t>
  </si>
  <si>
    <t>Колонна; Код детали: 7.481289.X; Кол-во: 1шт; Вес общий: 6,812тн; Упак.№ 500279.</t>
  </si>
  <si>
    <t>Вес 95% от объема:25,070тн.=23,817тн.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</si>
</sst>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000000"/>
    <numFmt numFmtId="166" formatCode="0.0000"/>
  </numFmts>
  <fonts count="14" x14ac:knownFonts="1">
    <font>
      <sz val="11"/>
      <color theme="1"/>
      <name val="Aptos Narrow"/>
      <family val="2"/>
      <charset val="204"/>
      <scheme val="minor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sz val="11"/>
      <color theme="1"/>
      <name val="Arial"/>
      <family val="2"/>
      <charset val="204"/>
    </font>
    <font>
      <i/>
      <sz val="11"/>
      <name val="Arial"/>
      <family val="2"/>
      <charset val="204"/>
    </font>
    <font>
      <sz val="11"/>
      <name val="Arial"/>
      <family val="2"/>
      <charset val="204"/>
    </font>
    <font>
      <i/>
      <sz val="8"/>
      <name val="Arial"/>
      <family val="2"/>
      <charset val="204"/>
    </font>
    <font>
      <b/>
      <u/>
      <sz val="12"/>
      <name val="Arial"/>
      <family val="2"/>
      <charset val="204"/>
    </font>
    <font>
      <b/>
      <sz val="12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sz val="10"/>
      <name val="Times New Roman"/>
      <family val="1"/>
      <charset val="204"/>
    </font>
    <font>
      <b/>
      <sz val="14"/>
      <name val="Times New Roman"/>
      <family val="1"/>
      <charset val="204"/>
    </font>
    <font>
      <b/>
      <sz val="1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1" fillId="0" borderId="0"/>
    <xf numFmtId="0" fontId="11" fillId="0" borderId="0"/>
  </cellStyleXfs>
  <cellXfs count="63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right"/>
    </xf>
    <xf numFmtId="0" fontId="3" fillId="0" borderId="0" xfId="0" applyFont="1"/>
    <xf numFmtId="0" fontId="1" fillId="0" borderId="1" xfId="0" applyFont="1" applyBorder="1" applyAlignment="1">
      <alignment horizontal="right"/>
    </xf>
    <xf numFmtId="0" fontId="2" fillId="0" borderId="2" xfId="0" applyFont="1" applyBorder="1" applyAlignment="1">
      <alignment horizontal="center"/>
    </xf>
    <xf numFmtId="0" fontId="4" fillId="0" borderId="1" xfId="0" applyFont="1" applyBorder="1" applyAlignment="1">
      <alignment wrapText="1"/>
    </xf>
    <xf numFmtId="0" fontId="4" fillId="0" borderId="2" xfId="0" applyFont="1" applyBorder="1" applyAlignment="1">
      <alignment horizontal="center" wrapText="1"/>
    </xf>
    <xf numFmtId="0" fontId="5" fillId="0" borderId="0" xfId="1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5" fillId="0" borderId="0" xfId="1" applyFont="1" applyAlignment="1">
      <alignment vertic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6" fillId="0" borderId="0" xfId="0" applyFont="1"/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0" fontId="4" fillId="0" borderId="1" xfId="0" applyFont="1" applyBorder="1" applyAlignment="1">
      <alignment horizontal="center" wrapText="1"/>
    </xf>
    <xf numFmtId="0" fontId="6" fillId="0" borderId="0" xfId="0" applyFont="1" applyAlignment="1">
      <alignment horizontal="center"/>
    </xf>
    <xf numFmtId="0" fontId="5" fillId="0" borderId="0" xfId="1" applyFont="1" applyAlignment="1">
      <alignment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left" vertical="center" wrapText="1"/>
    </xf>
    <xf numFmtId="0" fontId="13" fillId="0" borderId="0" xfId="2" applyFont="1" applyAlignment="1">
      <alignment vertical="center" wrapText="1"/>
    </xf>
    <xf numFmtId="0" fontId="10" fillId="0" borderId="4" xfId="0" applyFont="1" applyBorder="1" applyAlignment="1">
      <alignment horizontal="center" vertical="center" wrapText="1"/>
    </xf>
    <xf numFmtId="164" fontId="3" fillId="0" borderId="0" xfId="0" applyNumberFormat="1" applyFont="1"/>
    <xf numFmtId="0" fontId="4" fillId="0" borderId="4" xfId="1" applyFont="1" applyBorder="1" applyAlignment="1">
      <alignment horizontal="center" vertical="center"/>
    </xf>
    <xf numFmtId="165" fontId="3" fillId="0" borderId="0" xfId="0" applyNumberFormat="1" applyFont="1"/>
    <xf numFmtId="166" fontId="3" fillId="0" borderId="0" xfId="0" applyNumberFormat="1" applyFont="1"/>
    <xf numFmtId="0" fontId="4" fillId="0" borderId="5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 wrapText="1"/>
    </xf>
    <xf numFmtId="14" fontId="4" fillId="0" borderId="1" xfId="1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4" fillId="0" borderId="1" xfId="1" applyFont="1" applyBorder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4" fillId="0" borderId="3" xfId="1" applyFont="1" applyBorder="1" applyAlignment="1">
      <alignment horizontal="center"/>
    </xf>
    <xf numFmtId="0" fontId="6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4" fillId="0" borderId="4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5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9" fillId="0" borderId="7" xfId="1" applyFont="1" applyBorder="1" applyAlignment="1">
      <alignment horizontal="center" vertical="center" wrapText="1"/>
    </xf>
    <xf numFmtId="0" fontId="12" fillId="0" borderId="4" xfId="2" applyFont="1" applyBorder="1" applyAlignment="1">
      <alignment horizontal="left" vertical="center" wrapText="1"/>
    </xf>
    <xf numFmtId="0" fontId="12" fillId="0" borderId="2" xfId="2" applyFont="1" applyBorder="1" applyAlignment="1">
      <alignment horizontal="left" vertical="center" wrapText="1"/>
    </xf>
    <xf numFmtId="0" fontId="12" fillId="0" borderId="6" xfId="2" applyFont="1" applyBorder="1" applyAlignment="1">
      <alignment horizontal="left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  <xf numFmtId="0" fontId="9" fillId="0" borderId="11" xfId="1" applyFont="1" applyBorder="1" applyAlignment="1">
      <alignment horizontal="center" vertical="center" wrapText="1"/>
    </xf>
    <xf numFmtId="0" fontId="9" fillId="0" borderId="9" xfId="1" applyFont="1" applyBorder="1" applyAlignment="1">
      <alignment horizontal="center" vertical="center" wrapText="1"/>
    </xf>
    <xf numFmtId="0" fontId="9" fillId="0" borderId="4" xfId="1" applyFont="1" applyBorder="1" applyAlignment="1">
      <alignment horizontal="center" vertical="center" wrapText="1"/>
    </xf>
  </cellXfs>
  <cellStyles count="3">
    <cellStyle name="Обычный" xfId="0" builtinId="0"/>
    <cellStyle name="Обычный 5" xfId="2" xr:uid="{371469D4-769A-4EC1-AB3D-2DB74F907918}"/>
    <cellStyle name="Обычный_Пример акта" xfId="1" xr:uid="{DDE551DA-6EB6-4607-914F-E6598E3EF0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E099A-F5DC-441F-B750-B2A5FEF57E53}">
  <sheetPr>
    <pageSetUpPr fitToPage="1"/>
  </sheetPr>
  <dimension ref="A1:N29"/>
  <sheetViews>
    <sheetView tabSelected="1" view="pageBreakPreview" topLeftCell="A5" zoomScaleNormal="100" zoomScaleSheetLayoutView="100" workbookViewId="0">
      <selection activeCell="A15" sqref="A15:F15"/>
    </sheetView>
  </sheetViews>
  <sheetFormatPr defaultRowHeight="13.8" x14ac:dyDescent="0.25"/>
  <cols>
    <col min="1" max="1" width="6.77734375" style="5" customWidth="1"/>
    <col min="2" max="2" width="68.5546875" style="5" customWidth="1"/>
    <col min="3" max="3" width="43.6640625" style="5" customWidth="1"/>
    <col min="4" max="4" width="11.21875" style="5" customWidth="1"/>
    <col min="5" max="5" width="12.77734375" style="5" customWidth="1"/>
    <col min="6" max="6" width="17.44140625" style="5" customWidth="1"/>
    <col min="7" max="7" width="8.88671875" style="5"/>
    <col min="8" max="8" width="25.5546875" style="5" customWidth="1"/>
    <col min="9" max="11" width="8.88671875" style="5"/>
    <col min="12" max="12" width="13.44140625" style="5" bestFit="1" customWidth="1"/>
    <col min="13" max="13" width="8.88671875" style="5"/>
    <col min="14" max="14" width="9.88671875" style="5" bestFit="1" customWidth="1"/>
    <col min="15" max="16384" width="8.88671875" style="5"/>
  </cols>
  <sheetData>
    <row r="1" spans="1:6" ht="13.8" customHeight="1" x14ac:dyDescent="0.25">
      <c r="A1" s="1"/>
      <c r="B1" s="2" t="s">
        <v>0</v>
      </c>
      <c r="C1" s="3"/>
      <c r="D1" s="3"/>
      <c r="E1" s="3"/>
      <c r="F1" s="4" t="s">
        <v>1</v>
      </c>
    </row>
    <row r="2" spans="1:6" ht="13.8" customHeight="1" x14ac:dyDescent="0.25">
      <c r="A2" s="6"/>
      <c r="B2" s="7" t="s">
        <v>2</v>
      </c>
      <c r="C2" s="4"/>
      <c r="D2" s="4"/>
      <c r="E2" s="4"/>
      <c r="F2" s="4"/>
    </row>
    <row r="3" spans="1:6" ht="17.399999999999999" customHeight="1" x14ac:dyDescent="0.3">
      <c r="A3" s="8"/>
      <c r="B3" s="9" t="s">
        <v>3</v>
      </c>
      <c r="C3" s="10"/>
      <c r="D3" s="36" t="s">
        <v>4</v>
      </c>
      <c r="E3" s="36"/>
      <c r="F3" s="36"/>
    </row>
    <row r="4" spans="1:6" ht="21.6" customHeight="1" x14ac:dyDescent="0.25">
      <c r="A4" s="11"/>
      <c r="B4" s="12" t="s">
        <v>5</v>
      </c>
      <c r="C4" s="13"/>
      <c r="D4" s="37" t="s">
        <v>6</v>
      </c>
      <c r="E4" s="37"/>
      <c r="F4" s="37"/>
    </row>
    <row r="5" spans="1:6" ht="27" customHeight="1" thickBot="1" x14ac:dyDescent="0.35">
      <c r="A5" s="14"/>
      <c r="B5" s="15" t="s">
        <v>7</v>
      </c>
      <c r="C5" s="10"/>
      <c r="D5" s="38" t="s">
        <v>8</v>
      </c>
      <c r="E5" s="38"/>
      <c r="F5" s="38"/>
    </row>
    <row r="6" spans="1:6" ht="21.6" customHeight="1" x14ac:dyDescent="0.25">
      <c r="A6" s="16"/>
      <c r="B6" s="12" t="s">
        <v>9</v>
      </c>
      <c r="C6" s="13"/>
      <c r="D6" s="39" t="s">
        <v>10</v>
      </c>
      <c r="E6" s="39"/>
      <c r="F6" s="39"/>
    </row>
    <row r="7" spans="1:6" ht="18.75" customHeight="1" x14ac:dyDescent="0.3">
      <c r="A7" s="40"/>
      <c r="B7" s="40"/>
      <c r="C7" s="40"/>
      <c r="D7" s="40"/>
      <c r="E7" s="40"/>
      <c r="F7" s="40"/>
    </row>
    <row r="8" spans="1:6" ht="46.8" customHeight="1" x14ac:dyDescent="0.3">
      <c r="A8" s="8"/>
      <c r="B8" s="17" t="s">
        <v>11</v>
      </c>
      <c r="C8" s="18"/>
      <c r="D8" s="18"/>
      <c r="E8" s="18"/>
      <c r="F8" s="18"/>
    </row>
    <row r="9" spans="1:6" ht="16.2" customHeight="1" x14ac:dyDescent="0.25">
      <c r="A9" s="11"/>
      <c r="B9" s="12" t="s">
        <v>12</v>
      </c>
      <c r="C9" s="11"/>
      <c r="D9" s="11"/>
      <c r="E9" s="11"/>
      <c r="F9" s="11"/>
    </row>
    <row r="10" spans="1:6" ht="36" customHeight="1" x14ac:dyDescent="0.3">
      <c r="A10" s="8"/>
      <c r="B10" s="19" t="s">
        <v>13</v>
      </c>
      <c r="C10" s="16"/>
      <c r="D10" s="34" t="s">
        <v>36</v>
      </c>
      <c r="E10" s="35"/>
      <c r="F10" s="35"/>
    </row>
    <row r="11" spans="1:6" ht="14.1" customHeight="1" x14ac:dyDescent="0.25">
      <c r="A11" s="16"/>
      <c r="B11" s="20" t="s">
        <v>14</v>
      </c>
      <c r="D11" s="16"/>
      <c r="E11" s="16"/>
      <c r="F11" s="13"/>
    </row>
    <row r="12" spans="1:6" ht="14.1" hidden="1" customHeight="1" x14ac:dyDescent="0.25">
      <c r="A12" s="16"/>
      <c r="B12" s="20"/>
      <c r="C12" s="16"/>
      <c r="D12" s="16"/>
      <c r="E12" s="16"/>
      <c r="F12" s="13"/>
    </row>
    <row r="13" spans="1:6" ht="14.1" hidden="1" customHeight="1" x14ac:dyDescent="0.25">
      <c r="A13" s="16">
        <v>3321</v>
      </c>
      <c r="B13" s="20"/>
      <c r="C13" s="16"/>
      <c r="D13" s="16"/>
      <c r="E13" s="16"/>
      <c r="F13" s="13"/>
    </row>
    <row r="14" spans="1:6" ht="14.1" customHeight="1" x14ac:dyDescent="0.25">
      <c r="A14" s="3"/>
      <c r="B14" s="3"/>
      <c r="C14" s="21"/>
      <c r="D14" s="21"/>
      <c r="E14" s="21"/>
      <c r="F14" s="21"/>
    </row>
    <row r="15" spans="1:6" ht="21.6" customHeight="1" x14ac:dyDescent="0.25">
      <c r="A15" s="44" t="s">
        <v>37</v>
      </c>
      <c r="B15" s="44"/>
      <c r="C15" s="44"/>
      <c r="D15" s="44"/>
      <c r="E15" s="44"/>
      <c r="F15" s="44"/>
    </row>
    <row r="16" spans="1:6" ht="21.6" customHeight="1" x14ac:dyDescent="0.25">
      <c r="A16" s="44" t="s">
        <v>38</v>
      </c>
      <c r="B16" s="45"/>
      <c r="C16" s="45"/>
      <c r="D16" s="45"/>
      <c r="E16" s="45"/>
      <c r="F16" s="45"/>
    </row>
    <row r="17" spans="1:14" ht="126.6" customHeight="1" x14ac:dyDescent="0.25">
      <c r="A17" s="22" t="s">
        <v>15</v>
      </c>
      <c r="B17" s="23" t="s">
        <v>16</v>
      </c>
      <c r="C17" s="24" t="s">
        <v>17</v>
      </c>
      <c r="D17" s="46" t="s">
        <v>18</v>
      </c>
      <c r="E17" s="47"/>
      <c r="F17" s="48"/>
    </row>
    <row r="18" spans="1:14" ht="49.95" customHeight="1" x14ac:dyDescent="0.25">
      <c r="A18" s="22">
        <v>1</v>
      </c>
      <c r="B18" s="25" t="s">
        <v>39</v>
      </c>
      <c r="C18" s="49" t="s">
        <v>19</v>
      </c>
      <c r="D18" s="62" t="s">
        <v>20</v>
      </c>
      <c r="E18" s="62"/>
      <c r="F18" s="62"/>
    </row>
    <row r="19" spans="1:14" ht="49.95" customHeight="1" x14ac:dyDescent="0.25">
      <c r="A19" s="22">
        <v>2</v>
      </c>
      <c r="B19" s="25" t="s">
        <v>42</v>
      </c>
      <c r="C19" s="60"/>
      <c r="D19" s="62"/>
      <c r="E19" s="62"/>
      <c r="F19" s="62"/>
    </row>
    <row r="20" spans="1:14" ht="49.95" customHeight="1" x14ac:dyDescent="0.25">
      <c r="A20" s="22">
        <v>3</v>
      </c>
      <c r="B20" s="25" t="s">
        <v>43</v>
      </c>
      <c r="C20" s="60"/>
      <c r="D20" s="62"/>
      <c r="E20" s="62"/>
      <c r="F20" s="62"/>
    </row>
    <row r="21" spans="1:14" ht="49.95" customHeight="1" x14ac:dyDescent="0.25">
      <c r="A21" s="22">
        <v>4</v>
      </c>
      <c r="B21" s="25" t="s">
        <v>44</v>
      </c>
      <c r="C21" s="61"/>
      <c r="D21" s="62"/>
      <c r="E21" s="62"/>
      <c r="F21" s="62"/>
    </row>
    <row r="22" spans="1:14" ht="36" customHeight="1" x14ac:dyDescent="0.25">
      <c r="A22" s="50" t="s">
        <v>45</v>
      </c>
      <c r="B22" s="50"/>
      <c r="C22" s="51"/>
      <c r="D22" s="51"/>
      <c r="E22" s="51"/>
      <c r="F22" s="52"/>
      <c r="G22" s="26">
        <f>25.07*0.95</f>
        <v>23.816499999999998</v>
      </c>
      <c r="H22" s="26"/>
      <c r="J22" s="5">
        <f>19.239*0.95</f>
        <v>18.277049999999999</v>
      </c>
    </row>
    <row r="23" spans="1:14" ht="34.200000000000003" customHeight="1" x14ac:dyDescent="0.25">
      <c r="A23" s="53" t="s">
        <v>21</v>
      </c>
      <c r="B23" s="54"/>
      <c r="C23" s="46" t="s">
        <v>22</v>
      </c>
      <c r="D23" s="47"/>
      <c r="E23" s="47"/>
      <c r="F23" s="48"/>
    </row>
    <row r="24" spans="1:14" ht="33" customHeight="1" x14ac:dyDescent="0.25">
      <c r="A24" s="55"/>
      <c r="B24" s="56"/>
      <c r="C24" s="24" t="s">
        <v>23</v>
      </c>
      <c r="D24" s="46" t="s">
        <v>24</v>
      </c>
      <c r="E24" s="48"/>
      <c r="F24" s="27" t="s">
        <v>25</v>
      </c>
      <c r="L24" s="28"/>
    </row>
    <row r="25" spans="1:14" ht="42" customHeight="1" x14ac:dyDescent="0.25">
      <c r="A25" s="41" t="s">
        <v>26</v>
      </c>
      <c r="B25" s="41"/>
      <c r="C25" s="33" t="s">
        <v>40</v>
      </c>
      <c r="D25" s="42" t="s">
        <v>27</v>
      </c>
      <c r="E25" s="43"/>
      <c r="F25" s="29"/>
      <c r="L25" s="30"/>
      <c r="N25" s="31"/>
    </row>
    <row r="26" spans="1:14" ht="42" customHeight="1" x14ac:dyDescent="0.25">
      <c r="A26" s="41" t="s">
        <v>4</v>
      </c>
      <c r="B26" s="41"/>
      <c r="C26" s="33" t="s">
        <v>28</v>
      </c>
      <c r="D26" s="42" t="s">
        <v>29</v>
      </c>
      <c r="E26" s="43"/>
      <c r="F26" s="29"/>
    </row>
    <row r="27" spans="1:14" ht="42" customHeight="1" x14ac:dyDescent="0.25">
      <c r="A27" s="41" t="s">
        <v>4</v>
      </c>
      <c r="B27" s="41"/>
      <c r="C27" s="32" t="s">
        <v>30</v>
      </c>
      <c r="D27" s="57" t="s">
        <v>31</v>
      </c>
      <c r="E27" s="58"/>
      <c r="F27" s="29"/>
    </row>
    <row r="28" spans="1:14" ht="42" customHeight="1" x14ac:dyDescent="0.25">
      <c r="A28" s="41" t="s">
        <v>32</v>
      </c>
      <c r="B28" s="41"/>
      <c r="C28" s="32" t="s">
        <v>33</v>
      </c>
      <c r="D28" s="57" t="s">
        <v>41</v>
      </c>
      <c r="E28" s="58"/>
      <c r="F28" s="29"/>
    </row>
    <row r="29" spans="1:14" ht="42" customHeight="1" x14ac:dyDescent="0.25">
      <c r="A29" s="59" t="s">
        <v>8</v>
      </c>
      <c r="B29" s="59"/>
      <c r="C29" s="32" t="s">
        <v>34</v>
      </c>
      <c r="D29" s="42" t="s">
        <v>35</v>
      </c>
      <c r="E29" s="43"/>
      <c r="F29" s="29"/>
    </row>
  </sheetData>
  <mergeCells count="25">
    <mergeCell ref="A27:B27"/>
    <mergeCell ref="D27:E27"/>
    <mergeCell ref="A28:B28"/>
    <mergeCell ref="D28:E28"/>
    <mergeCell ref="A29:B29"/>
    <mergeCell ref="D29:E29"/>
    <mergeCell ref="A26:B26"/>
    <mergeCell ref="D26:E26"/>
    <mergeCell ref="A15:F15"/>
    <mergeCell ref="A16:F16"/>
    <mergeCell ref="D17:F17"/>
    <mergeCell ref="A22:F22"/>
    <mergeCell ref="A23:B24"/>
    <mergeCell ref="C23:F23"/>
    <mergeCell ref="D24:E24"/>
    <mergeCell ref="A25:B25"/>
    <mergeCell ref="D25:E25"/>
    <mergeCell ref="C18:C21"/>
    <mergeCell ref="D18:F21"/>
    <mergeCell ref="D10:F10"/>
    <mergeCell ref="D3:F3"/>
    <mergeCell ref="D4:F4"/>
    <mergeCell ref="D5:F5"/>
    <mergeCell ref="D6:F6"/>
    <mergeCell ref="A7:F7"/>
  </mergeCells>
  <pageMargins left="0.7" right="0.7" top="0.75" bottom="0.75" header="0.3" footer="0.3"/>
  <pageSetup paperSize="9" scale="54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Denis-PTO</dc:creator>
  <cp:lastModifiedBy>Денис Венедиктов</cp:lastModifiedBy>
  <cp:lastPrinted>2026-05-02T07:12:37Z</cp:lastPrinted>
  <dcterms:created xsi:type="dcterms:W3CDTF">2026-02-18T14:58:01Z</dcterms:created>
  <dcterms:modified xsi:type="dcterms:W3CDTF">2026-05-02T07:12:39Z</dcterms:modified>
</cp:coreProperties>
</file>