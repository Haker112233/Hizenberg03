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1 Установка газоочистки ваккуматра\30%\"/>
    </mc:Choice>
  </mc:AlternateContent>
  <xr:revisionPtr revIDLastSave="0" documentId="13_ncr:1_{ED1DAF71-4BB0-4BBA-9B76-5A92F86367BD}" xr6:coauthVersionLast="47" xr6:coauthVersionMax="47" xr10:uidLastSave="{00000000-0000-0000-0000-000000000000}"/>
  <bookViews>
    <workbookView xWindow="-28920" yWindow="-120" windowWidth="29040" windowHeight="15720" xr2:uid="{5A164E35-C854-46A5-ACAB-98E13E9A19AE}"/>
  </bookViews>
  <sheets>
    <sheet name="Лист1" sheetId="1" r:id="rId1"/>
  </sheets>
  <definedNames>
    <definedName name="_xlnm.Print_Area" localSheetId="0">Лист1!$A$1:$F$92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5" i="1" l="1"/>
  <c r="G83" i="1"/>
</calcChain>
</file>

<file path=xl/sharedStrings.xml><?xml version="1.0" encoding="utf-8"?>
<sst xmlns="http://schemas.openxmlformats.org/spreadsheetml/2006/main" count="116" uniqueCount="103">
  <si>
    <t>Нижегородская область, г. Выкса,</t>
  </si>
  <si>
    <t>форма 1 ВСН 478-86</t>
  </si>
  <si>
    <t>Проммикрорайон №7, территория</t>
  </si>
  <si>
    <t>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</si>
  <si>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</si>
  <si>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</si>
  <si>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 и ее ведомственная принадлежность)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</si>
  <si>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</si>
  <si>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</si>
  <si>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</si>
  <si>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 и ее ведомственная принадлежность)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</si>
  <si>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</si>
  <si>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</si>
  <si>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 xml:space="preserve"> Установка газоочистки вакууматора</t>
  </si>
  <si>
    <t>«05» Августа 2026г.</t>
  </si>
  <si>
    <t>(наименование технологического узла)</t>
  </si>
  <si>
    <t>Акт № 1861/3 о завершении и сдаче монтажных работ</t>
  </si>
  <si>
    <t>ACT № 1861/3 on completion and acceptance of installation works</t>
  </si>
  <si>
    <t>№
 п/п</t>
  </si>
  <si>
    <t>Наименование и номер по рабочим чертежам/ 
Name and number according to working drawings</t>
  </si>
  <si>
    <t>Номер и наименование рабочих чертежей и эксплуатационной документации (инструкция по монтажу) предприятия-изготовителя/ 
Number and name of working drawings and operational documentation (installation instructions) of the manufacturer</t>
  </si>
  <si>
    <t xml:space="preserve">Заключение о результатах монтажных работ/ Conclusion on the results of installation works </t>
  </si>
  <si>
    <t>ТРУБА ; Код детали: 7.561528.X; Кол-во: 6шт; Вес общий: 2; Упак.№ 77338. (30%)</t>
  </si>
  <si>
    <t xml:space="preserve">
Рабочие чертежи фирмы Danieli
DPC13Y141861
Рабочие чертежи  
АО «Магнитогорский гипромез»
М80080.04.03-ТХ1
Электросталеплавильный цех (ЭСПЦ).
Участок внепечной обработки стали. Вакууматор.</t>
  </si>
  <si>
    <t>Работы выполнены в соответствии с проектом/ 
Works performed in accordance with the project</t>
  </si>
  <si>
    <t>ТРУБА ; Код детали: 7.561516.L; Кол-во: 1шт; Вес общий: 1,98; Упак.№ 77339. (95%)</t>
  </si>
  <si>
    <t>ТРУБА ; Код детали: 7.561527.P; Кол-во: 2шт; Вес общий: 3,35; Упак.№ 77340. (30%)</t>
  </si>
  <si>
    <t>ТРУБА ; Код детали: 7.561505.S; Кол-во: 1шт; Вес общий: 1,45; Упак.№ 77341. (95%)</t>
  </si>
  <si>
    <t>ТРУБА ; Код детали: 7.561522.H; Кол-во: 1шт; Вес общий: 1,475; Упак.№ 77342. (30%)</t>
  </si>
  <si>
    <t>ТРУБА ; Код детали: 7.561523.K; Кол-во: 1шт; Вес общий: 1,475; Упак.№ 77342. (30%)</t>
  </si>
  <si>
    <t>ТРУБА ; Код детали: 7.561515.K; Кол-во: 1шт; Вес общий: 1,4; Упак.№ 77343. (95%)</t>
  </si>
  <si>
    <t>ТРУБА ; Код детали: 7.561504.Z; Кол-во: 1шт; Вес общий: 1,775; Упак.№ 77344. (95%)</t>
  </si>
  <si>
    <t>ТРУБА ; Код детали: 7.561524.L; Кол-во: 1шт; Вес общий: 1,775; Упак.№ 77344. (95%)</t>
  </si>
  <si>
    <t>ТРУБА ; Код детали: 7.561519.W; Кол-во: 1шт; Вес общий: 1,467; Упак.№ 77345. (30%)</t>
  </si>
  <si>
    <t>ТРУБА ; Код детали: 7.561520.R; Кол-во: 1шт; Вес общий: 1,467; Упак.№ 77345. (95%)</t>
  </si>
  <si>
    <t>ТРУБА ; Код детали: 7.561514.H; Кол-во: 1шт; Вес общий: 0,4; Упак.№ 77346. (95%)</t>
  </si>
  <si>
    <t>ТРУБА ; Код детали: 7.561509.D; Кол-во: 1шт; Вес общий: 0,4; Упак.№ 77346. (95%)</t>
  </si>
  <si>
    <t>ТРУБА ; Код детали: 7.561508.C; Кол-во: 1шт; Вес общий: 0,4; Упак.№ 77346. (95%)</t>
  </si>
  <si>
    <t>ТРУБА ; Код детали: 7.561526.N; Кол-во: 1шт; Вес общий: 1,067; Упак.№ 77347. (95%)</t>
  </si>
  <si>
    <t>ТРУБА ; Код детали: 7.561518.V; Кол-во: 1шт; Вес общий: 1,067; Упак.№ 77347. (95%)</t>
  </si>
  <si>
    <t>ТРУБА ; Код детали: 7.561511.N; Кол-во: 1шт; Вес общий: 1,067; Упак.№ 77347. (95%)</t>
  </si>
  <si>
    <t>ТРУБА ; Код детали: 7.561506.T; Кол-во: 1шт; Вес общий: 2,1; Упак.№ 77348. (95%)</t>
  </si>
  <si>
    <t>ТРУБА ; Код детали: 7.561503.X; Кол-во: 1шт; Вес общий: 2,1; Упак.№ 77348. (95%)</t>
  </si>
  <si>
    <t>ТРУБА ; Код детали: 7.561498.S; Кол-во: 1шт; Вес общий: 1,967; Упак.№ 77349. (30%)</t>
  </si>
  <si>
    <t>ТРУБА ; Код детали: 7.561499.T; Кол-во: 1шт; Вес общий: 1,7; Упак.№ 77350. (30%)</t>
  </si>
  <si>
    <t>БАЙПАС ОТСЕЧНОГО КЛАПАНА; Код детали: 8.785976.B; Кол-во: 1шт; Вес общий: 0,25; Упак.№ 77351. (95%)</t>
  </si>
  <si>
    <t>ТРУБА ; Код детали: 7.561512.P; Кол-во: 1шт; Вес общий: 0,25; Упак.№ 77351. (95%)</t>
  </si>
  <si>
    <t>Болт + Гайка + Шайба M20 x 100; Код детали: NR; Кол-во: 360шт; Вес общий: 0,085; Упак.№ 77351. (95%)</t>
  </si>
  <si>
    <t>Болт-шпилька M36 x 420 + Гайка 2 + Шайба 2; Код детали: NR; Кол-во: 64шт; Вес общий: 0,015; Упак.№ 77351. (95%)</t>
  </si>
  <si>
    <t>КРЫШКА В СБОРЕ ; Код детали: 8.878444.Q; Кол-во: 1шт; Вес общий: 1; Упак.№ 77352. (95%)</t>
  </si>
  <si>
    <t>Прокладка D=22; Код детали: NR; Кол-во: 2шт; Вес общий: 0,003; Упак.№ 77352. (95%)</t>
  </si>
  <si>
    <t>Прокладка D=26; Код детали: NR; Кол-во: 4шт; Вес общий: 0,005; Упак.№ 77352. (95%)</t>
  </si>
  <si>
    <t>Кронштейн (F1861G304); Код детали: NR; Кол-во: 5шт; Вес общий: 0,007; Упак.№ 77352. (95%)</t>
  </si>
  <si>
    <t>Номер кронштейна (F1861H304); Код детали: NR; Кол-во: 4шт; Вес общий: 0,005; Упак.№ 77352. (95%)</t>
  </si>
  <si>
    <t>Болт-шпилька M24x270; Код детали: NR; Кол-во: 360шт; Вес общий: 0,481; Упак.№ 77352. (95%)</t>
  </si>
  <si>
    <t>Болт-шпилька M22x380; Код детали: NR; Кол-во: 30шт; Вес общий: 0,04; Упак.№ 77352. (95%)</t>
  </si>
  <si>
    <t>Болт-шпилька M20x190; Код детали: NR; Кол-во: 26шт; Вес общий: 0,035; Упак.№ 77352. (95%)</t>
  </si>
  <si>
    <t>Гайка M20; Код детали: NR; Кол-во: 57шт; Вес общий: 0,076; Упак.№ 77352. (95%)</t>
  </si>
  <si>
    <t>Гайка M16; Код детали: NR; Кол-во: 60шт; Вес общий: 0,08; Упак.№ 77352. (95%)</t>
  </si>
  <si>
    <t>Крепежная стяжка; Код детали: ТК; Кол-во: 5шт; Вес общий: 0,007; Упак.№ 77352. (95%)</t>
  </si>
  <si>
    <t>Шайба; Код детали: NR; Кол-во: 2шт; Вес общий: 0,003; Упак.№ 77352. (95%)</t>
  </si>
  <si>
    <t>Болт M16x60; Код детали: NR; Кол-во: 24шт; Вес общий: 0,032; Упак.№ 77352. (95%)</t>
  </si>
  <si>
    <t>Шайба M16x36; Код детали: NR; Кол-во: 60шт; Вес общий: 0,08; Упак.№ 77352. (95%)</t>
  </si>
  <si>
    <t>Болт M20x60; Код детали: NR; Кол-во: 16шт; Вес общий: 0,021; Упак.№ 77352. (95%)</t>
  </si>
  <si>
    <t>Болт M8x50 + Гайка; Код детали: NR; Кол-во: 16шт; Вес общий: 0,021; Упак.№ 77352. (95%)</t>
  </si>
  <si>
    <t>Блочный фильтр; Код детали: NR; Кол-во: 2шт; Вес общий: 0,003; Упак.№ 77352. (95%)</t>
  </si>
  <si>
    <t>КРЫШКА В СБОРЕ ; Код детали: 8.878444.Q; Кол-во: 1шт; Вес общий: 1; Упак.№ 77353. (95%)</t>
  </si>
  <si>
    <t>Прокладка паранитическая D500; Код детали: NR; Кол-во: 4шт; Вес общий: 0,002; Упак.№ 77353. (95%)</t>
  </si>
  <si>
    <t>Труба (F1861G303); Код детали: NR; Кол-во: 3шт; Вес общий: 0,002; Упак.№ 77353. (95%)</t>
  </si>
  <si>
    <t>Труба (F1861H303); Код детали: NR; Кол-во: 4шт; Вес общий: 0,002; Упак.№ 77353. (95%)</t>
  </si>
  <si>
    <t>Прокладка Паранитическая D250; Код детали: NR; Кол-во: 56шт; Вес общий: 0,034; Упак.№ 77353. (95%)</t>
  </si>
  <si>
    <t>Гайка M24; Код детали: NR; Кол-во: 720шт; Вес общий: 0,434; Упак.№ 77353. (95%)</t>
  </si>
  <si>
    <t>Болт-шпилька M 18; Код детали: NR; Кол-во: 16шт; Вес общий: 0,01; Упак.№ 77353. (95%)</t>
  </si>
  <si>
    <t>Болт-шпилька M 22; Код детали: NR; Кол-во: 6шт; Вес общий: 0,004; Упак.№ 77353. (95%)</t>
  </si>
  <si>
    <t>Опорная пластина; Код детали: NR; Кол-во: 5шт; Вес общий: 0,003; Упак.№ 77353. (95%)</t>
  </si>
  <si>
    <t>Болт M18 x 180; Код детали: NR; Кол-во: 48шт; Вес общий: 0,029; Упак.№ 77353. (95%)</t>
  </si>
  <si>
    <t>Болт M18 x 110; Код детали: NR; Кол-во: 2шт; Вес общий: 0,001; Упак.№ 77353. (95%)</t>
  </si>
  <si>
    <t>Болт M14 x 80; Код детали: NR; Кол-во: 1шт; Вес общий: 0,001; Упак.№ 77353. (95%)</t>
  </si>
  <si>
    <t>Оцинкованная гайка M24; Код детали: NR; Кол-во: 300шт; Вес общий: 0,181; Упак.№ 77353. (95%)</t>
  </si>
  <si>
    <t>Шайба M24. комплект; Код детали: NR; Кол-во: 1шт; Вес общий: 0,001; Упак.№ 77353. (95%)</t>
  </si>
  <si>
    <t>Шайба M20. Комплект; Код детали: NR; Кол-во: 1шт; Вес общий: 0,001; Упак.№ 77353. (95%)</t>
  </si>
  <si>
    <t>Болт М24 х 100; Код детали: NR; Кол-во: 360шт; Вес общий: 0,217; Упак.№ 77353. (95%)</t>
  </si>
  <si>
    <t>Вес 95% от объема:25,666тн.= 24,383тн
Вес 30% от объема:17,433тн.= 5,23тн</t>
  </si>
  <si>
    <t>Наименование организации/ Name of organization</t>
  </si>
  <si>
    <t>Представитель /
representative</t>
  </si>
  <si>
    <t>Должность/ 
position</t>
  </si>
  <si>
    <t xml:space="preserve">Ф.И.О./ 
Name </t>
  </si>
  <si>
    <t>Подпись/ 
Signature</t>
  </si>
  <si>
    <t>АО «ВМЗ» ДКС</t>
  </si>
  <si>
    <t>Руководитель проекта 
по монтажу технологического 
оборудования ЭМК ЭСПЦ</t>
  </si>
  <si>
    <t>Белоусов А.Г.</t>
  </si>
  <si>
    <t>Механик Участка</t>
  </si>
  <si>
    <t>Назаренко К.А.</t>
  </si>
  <si>
    <t>Гидравлик цеха,участок по ремонту механического оборудования ЭСПЦ</t>
  </si>
  <si>
    <t>Катаев И.В.</t>
  </si>
  <si>
    <t>Ведущий инженер по монтажу механического оборудования УСК ДКС АО «ВМЗ»</t>
  </si>
  <si>
    <t>Сабко А.А.</t>
  </si>
  <si>
    <t>Danieli</t>
  </si>
  <si>
    <t>Представитель Danieli</t>
  </si>
  <si>
    <t>Серов Е.В.</t>
  </si>
  <si>
    <t>Технический руководитель проекта</t>
  </si>
  <si>
    <t>Глыжко Г. В.</t>
  </si>
  <si>
    <t xml:space="preserve">Приложение: Исполнительная схема №144А;145А высотное положение опор линии аспирации в осях В-Б/14-15;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</si>
</sst>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00"/>
    <numFmt numFmtId="166" formatCode="0.0000"/>
  </numFmts>
  <fonts count="13" x14ac:knownFonts="1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name val="Arial"/>
      <family val="2"/>
      <charset val="204"/>
    </font>
    <font>
      <sz val="11"/>
      <name val="Arial"/>
      <family val="2"/>
      <charset val="204"/>
    </font>
    <font>
      <i/>
      <sz val="8"/>
      <name val="Arial"/>
      <family val="2"/>
      <charset val="204"/>
    </font>
    <font>
      <b/>
      <u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7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5" fillId="0" borderId="0" xfId="1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1" applyFont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164" fontId="3" fillId="0" borderId="0" xfId="0" applyNumberFormat="1" applyFont="1"/>
    <xf numFmtId="0" fontId="4" fillId="0" borderId="5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5" fontId="3" fillId="0" borderId="0" xfId="0" applyNumberFormat="1" applyFont="1"/>
    <xf numFmtId="166" fontId="3" fillId="0" borderId="0" xfId="0" applyNumberFormat="1" applyFont="1"/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12" fillId="0" borderId="5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left" vertical="center" wrapText="1"/>
    </xf>
    <xf numFmtId="0" fontId="12" fillId="0" borderId="6" xfId="2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7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 wrapText="1"/>
    </xf>
    <xf numFmtId="0" fontId="9" fillId="0" borderId="1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4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</cellXfs>
  <cellStyles count="3">
    <cellStyle name="Обычный" xfId="0" builtinId="0"/>
    <cellStyle name="Обычный 5" xfId="2" xr:uid="{FDDD4E6E-A80D-4673-B4F8-F1772A417E17}"/>
    <cellStyle name="Обычный_Пример акта" xfId="1" xr:uid="{1F7D1A2A-39CC-4298-92B7-8FA50015FF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4D31-A1E5-4F7A-94FE-2F683A4FA0A2}">
  <sheetPr>
    <pageSetUpPr fitToPage="1"/>
  </sheetPr>
  <dimension ref="A1:N92"/>
  <sheetViews>
    <sheetView tabSelected="1" view="pageBreakPreview" topLeftCell="A76" zoomScaleNormal="100" zoomScaleSheetLayoutView="100" workbookViewId="0">
      <selection activeCell="C82" sqref="C82"/>
    </sheetView>
  </sheetViews>
  <sheetFormatPr defaultRowHeight="13.8" x14ac:dyDescent="0.25"/>
  <cols>
    <col min="1" max="1" width="6.77734375" style="5" customWidth="1"/>
    <col min="2" max="2" width="68.5546875" style="5" customWidth="1"/>
    <col min="3" max="3" width="43.6640625" style="5" customWidth="1"/>
    <col min="4" max="4" width="11.21875" style="5" customWidth="1"/>
    <col min="5" max="5" width="12.77734375" style="5" customWidth="1"/>
    <col min="6" max="6" width="17.44140625" style="5" customWidth="1"/>
    <col min="7" max="7" width="25.6640625" style="5" customWidth="1"/>
    <col min="8" max="8" width="14.33203125" style="5" customWidth="1"/>
    <col min="9" max="9" width="8.88671875" style="5"/>
    <col min="10" max="10" width="15.109375" style="5" customWidth="1"/>
    <col min="11" max="11" width="17.77734375" style="5" customWidth="1"/>
    <col min="12" max="12" width="13.44140625" style="5" bestFit="1" customWidth="1"/>
    <col min="13" max="13" width="8.88671875" style="5"/>
    <col min="14" max="14" width="9.88671875" style="5" bestFit="1" customWidth="1"/>
    <col min="15" max="16384" width="8.88671875" style="5"/>
  </cols>
  <sheetData>
    <row r="1" spans="1:6" ht="13.8" customHeight="1" x14ac:dyDescent="0.25">
      <c r="A1" s="1"/>
      <c r="B1" s="2" t="s">
        <v>0</v>
      </c>
      <c r="C1" s="3"/>
      <c r="D1" s="3"/>
      <c r="E1" s="3"/>
      <c r="F1" s="4" t="s">
        <v>1</v>
      </c>
    </row>
    <row r="2" spans="1:6" ht="13.8" customHeight="1" x14ac:dyDescent="0.25">
      <c r="A2" s="6"/>
      <c r="B2" s="7" t="s">
        <v>2</v>
      </c>
      <c r="C2" s="4"/>
      <c r="D2" s="4"/>
      <c r="E2" s="4"/>
      <c r="F2" s="4"/>
    </row>
    <row r="3" spans="1:6" ht="17.399999999999999" customHeight="1" x14ac:dyDescent="0.3">
      <c r="A3" s="8"/>
      <c r="B3" s="9" t="s">
        <v>3</v>
      </c>
      <c r="C3" s="10"/>
      <c r="D3" s="63" t="s">
        <v>4</v>
      </c>
      <c r="E3" s="63"/>
      <c r="F3" s="63"/>
    </row>
    <row r="4" spans="1:6" ht="21.6" customHeight="1" x14ac:dyDescent="0.25">
      <c r="A4" s="11"/>
      <c r="B4" s="12" t="s">
        <v>5</v>
      </c>
      <c r="C4" s="13"/>
      <c r="D4" s="64" t="s">
        <v>6</v>
      </c>
      <c r="E4" s="64"/>
      <c r="F4" s="64"/>
    </row>
    <row r="5" spans="1:6" ht="27" customHeight="1" thickBot="1" x14ac:dyDescent="0.35">
      <c r="A5" s="14"/>
      <c r="B5" s="15" t="s">
        <v>7</v>
      </c>
      <c r="C5" s="10"/>
      <c r="D5" s="65" t="s">
        <v>8</v>
      </c>
      <c r="E5" s="65"/>
      <c r="F5" s="65"/>
    </row>
    <row r="6" spans="1:6" ht="21.6" customHeight="1" x14ac:dyDescent="0.25">
      <c r="A6" s="16"/>
      <c r="B6" s="12" t="s">
        <v>9</v>
      </c>
      <c r="C6" s="13"/>
      <c r="D6" s="66" t="s">
        <v>10</v>
      </c>
      <c r="E6" s="66"/>
      <c r="F6" s="66"/>
    </row>
    <row r="7" spans="1:6" ht="18.75" customHeight="1" x14ac:dyDescent="0.3">
      <c r="A7" s="67"/>
      <c r="B7" s="67"/>
      <c r="C7" s="67"/>
      <c r="D7" s="67"/>
      <c r="E7" s="67"/>
      <c r="F7" s="67"/>
    </row>
    <row r="8" spans="1:6" ht="46.8" customHeight="1" x14ac:dyDescent="0.3">
      <c r="A8" s="8"/>
      <c r="B8" s="17" t="s">
        <v>11</v>
      </c>
      <c r="C8" s="18"/>
      <c r="D8" s="18"/>
      <c r="E8" s="18"/>
      <c r="F8" s="18"/>
    </row>
    <row r="9" spans="1:6" ht="16.2" customHeight="1" x14ac:dyDescent="0.25">
      <c r="A9" s="11"/>
      <c r="B9" s="12" t="s">
        <v>12</v>
      </c>
      <c r="C9" s="11"/>
      <c r="D9" s="11"/>
      <c r="E9" s="11"/>
      <c r="F9" s="11"/>
    </row>
    <row r="10" spans="1:6" ht="36" customHeight="1" x14ac:dyDescent="0.3">
      <c r="A10" s="8"/>
      <c r="B10" s="17" t="s">
        <v>13</v>
      </c>
      <c r="C10" s="16"/>
      <c r="D10" s="68" t="s">
        <v>14</v>
      </c>
      <c r="E10" s="69"/>
      <c r="F10" s="69"/>
    </row>
    <row r="11" spans="1:6" ht="14.1" customHeight="1" x14ac:dyDescent="0.25">
      <c r="A11" s="16"/>
      <c r="B11" s="19" t="s">
        <v>15</v>
      </c>
      <c r="D11" s="16"/>
      <c r="E11" s="16"/>
      <c r="F11" s="13"/>
    </row>
    <row r="12" spans="1:6" ht="14.1" hidden="1" customHeight="1" x14ac:dyDescent="0.25">
      <c r="A12" s="16"/>
      <c r="B12" s="19"/>
      <c r="C12" s="16"/>
      <c r="D12" s="16"/>
      <c r="E12" s="16"/>
      <c r="F12" s="13"/>
    </row>
    <row r="13" spans="1:6" ht="14.1" hidden="1" customHeight="1" x14ac:dyDescent="0.25">
      <c r="A13" s="16">
        <v>3321</v>
      </c>
      <c r="B13" s="19"/>
      <c r="C13" s="16"/>
      <c r="D13" s="16"/>
      <c r="E13" s="16"/>
      <c r="F13" s="13"/>
    </row>
    <row r="14" spans="1:6" ht="14.1" customHeight="1" x14ac:dyDescent="0.25">
      <c r="A14" s="3"/>
      <c r="B14" s="3"/>
      <c r="C14" s="20"/>
      <c r="D14" s="20"/>
      <c r="E14" s="20"/>
      <c r="F14" s="20"/>
    </row>
    <row r="15" spans="1:6" ht="21.6" customHeight="1" x14ac:dyDescent="0.25">
      <c r="A15" s="52" t="s">
        <v>16</v>
      </c>
      <c r="B15" s="52"/>
      <c r="C15" s="52"/>
      <c r="D15" s="52"/>
      <c r="E15" s="52"/>
      <c r="F15" s="52"/>
    </row>
    <row r="16" spans="1:6" ht="21.6" customHeight="1" x14ac:dyDescent="0.25">
      <c r="A16" s="52" t="s">
        <v>17</v>
      </c>
      <c r="B16" s="53"/>
      <c r="C16" s="53"/>
      <c r="D16" s="53"/>
      <c r="E16" s="53"/>
      <c r="F16" s="53"/>
    </row>
    <row r="17" spans="1:6" ht="126.6" customHeight="1" x14ac:dyDescent="0.25">
      <c r="A17" s="21" t="s">
        <v>18</v>
      </c>
      <c r="B17" s="22" t="s">
        <v>19</v>
      </c>
      <c r="C17" s="23" t="s">
        <v>20</v>
      </c>
      <c r="D17" s="49" t="s">
        <v>21</v>
      </c>
      <c r="E17" s="50"/>
      <c r="F17" s="51"/>
    </row>
    <row r="18" spans="1:6" ht="45" customHeight="1" x14ac:dyDescent="0.25">
      <c r="A18" s="21">
        <v>1</v>
      </c>
      <c r="B18" s="24" t="s">
        <v>22</v>
      </c>
      <c r="C18" s="54" t="s">
        <v>23</v>
      </c>
      <c r="D18" s="56" t="s">
        <v>24</v>
      </c>
      <c r="E18" s="57"/>
      <c r="F18" s="58"/>
    </row>
    <row r="19" spans="1:6" ht="45" customHeight="1" x14ac:dyDescent="0.25">
      <c r="A19" s="21">
        <v>2</v>
      </c>
      <c r="B19" s="24" t="s">
        <v>22</v>
      </c>
      <c r="C19" s="55"/>
      <c r="D19" s="59"/>
      <c r="E19" s="60"/>
      <c r="F19" s="61"/>
    </row>
    <row r="20" spans="1:6" ht="45" customHeight="1" x14ac:dyDescent="0.25">
      <c r="A20" s="21">
        <v>3</v>
      </c>
      <c r="B20" s="24" t="s">
        <v>22</v>
      </c>
      <c r="C20" s="55"/>
      <c r="D20" s="59"/>
      <c r="E20" s="60"/>
      <c r="F20" s="61"/>
    </row>
    <row r="21" spans="1:6" ht="45" customHeight="1" x14ac:dyDescent="0.25">
      <c r="A21" s="21">
        <v>4</v>
      </c>
      <c r="B21" s="24" t="s">
        <v>25</v>
      </c>
      <c r="C21" s="55"/>
      <c r="D21" s="59"/>
      <c r="E21" s="60"/>
      <c r="F21" s="61"/>
    </row>
    <row r="22" spans="1:6" ht="45" customHeight="1" x14ac:dyDescent="0.25">
      <c r="A22" s="21">
        <v>5</v>
      </c>
      <c r="B22" s="24" t="s">
        <v>26</v>
      </c>
      <c r="C22" s="55"/>
      <c r="D22" s="25"/>
      <c r="E22" s="26"/>
      <c r="F22" s="26"/>
    </row>
    <row r="23" spans="1:6" ht="45" customHeight="1" x14ac:dyDescent="0.25">
      <c r="A23" s="21">
        <v>6</v>
      </c>
      <c r="B23" s="24" t="s">
        <v>27</v>
      </c>
      <c r="C23" s="27"/>
      <c r="D23" s="25"/>
      <c r="E23" s="26"/>
      <c r="F23" s="26"/>
    </row>
    <row r="24" spans="1:6" ht="45" customHeight="1" x14ac:dyDescent="0.25">
      <c r="A24" s="21">
        <v>7</v>
      </c>
      <c r="B24" s="24" t="s">
        <v>28</v>
      </c>
      <c r="C24" s="27"/>
      <c r="D24" s="25"/>
      <c r="E24" s="26"/>
      <c r="F24" s="26"/>
    </row>
    <row r="25" spans="1:6" ht="45" customHeight="1" x14ac:dyDescent="0.25">
      <c r="A25" s="21">
        <v>8</v>
      </c>
      <c r="B25" s="24" t="s">
        <v>29</v>
      </c>
      <c r="C25" s="27"/>
      <c r="D25" s="25"/>
      <c r="E25" s="26"/>
      <c r="F25" s="26"/>
    </row>
    <row r="26" spans="1:6" ht="45" customHeight="1" x14ac:dyDescent="0.25">
      <c r="A26" s="21">
        <v>9</v>
      </c>
      <c r="B26" s="24" t="s">
        <v>30</v>
      </c>
      <c r="C26" s="27"/>
      <c r="D26" s="25"/>
      <c r="E26" s="26"/>
      <c r="F26" s="26"/>
    </row>
    <row r="27" spans="1:6" ht="45" customHeight="1" x14ac:dyDescent="0.25">
      <c r="A27" s="21">
        <v>10</v>
      </c>
      <c r="B27" s="24" t="s">
        <v>30</v>
      </c>
      <c r="C27" s="27"/>
      <c r="D27" s="25"/>
      <c r="E27" s="26"/>
      <c r="F27" s="26"/>
    </row>
    <row r="28" spans="1:6" ht="45" customHeight="1" x14ac:dyDescent="0.25">
      <c r="A28" s="21">
        <v>11</v>
      </c>
      <c r="B28" s="24" t="s">
        <v>31</v>
      </c>
      <c r="C28" s="27"/>
      <c r="D28" s="25"/>
      <c r="E28" s="26"/>
      <c r="F28" s="26"/>
    </row>
    <row r="29" spans="1:6" ht="45" customHeight="1" x14ac:dyDescent="0.25">
      <c r="A29" s="21">
        <v>12</v>
      </c>
      <c r="B29" s="24" t="s">
        <v>32</v>
      </c>
      <c r="C29" s="27"/>
      <c r="D29" s="25"/>
      <c r="E29" s="26"/>
      <c r="F29" s="26"/>
    </row>
    <row r="30" spans="1:6" ht="45" customHeight="1" x14ac:dyDescent="0.25">
      <c r="A30" s="21">
        <v>13</v>
      </c>
      <c r="B30" s="24" t="s">
        <v>33</v>
      </c>
      <c r="C30" s="27"/>
      <c r="D30" s="25"/>
      <c r="E30" s="26"/>
      <c r="F30" s="26"/>
    </row>
    <row r="31" spans="1:6" ht="45" customHeight="1" x14ac:dyDescent="0.25">
      <c r="A31" s="21">
        <v>14</v>
      </c>
      <c r="B31" s="24" t="s">
        <v>34</v>
      </c>
      <c r="C31" s="27"/>
      <c r="D31" s="25"/>
      <c r="E31" s="26"/>
      <c r="F31" s="26"/>
    </row>
    <row r="32" spans="1:6" ht="45" customHeight="1" x14ac:dyDescent="0.25">
      <c r="A32" s="21">
        <v>15</v>
      </c>
      <c r="B32" s="24" t="s">
        <v>35</v>
      </c>
      <c r="C32" s="27"/>
      <c r="D32" s="25"/>
      <c r="E32" s="26"/>
      <c r="F32" s="26"/>
    </row>
    <row r="33" spans="1:6" ht="45" customHeight="1" x14ac:dyDescent="0.25">
      <c r="A33" s="21">
        <v>16</v>
      </c>
      <c r="B33" s="24" t="s">
        <v>35</v>
      </c>
      <c r="C33" s="27"/>
      <c r="D33" s="25"/>
      <c r="E33" s="26"/>
      <c r="F33" s="26"/>
    </row>
    <row r="34" spans="1:6" ht="45" customHeight="1" x14ac:dyDescent="0.25">
      <c r="A34" s="21">
        <v>17</v>
      </c>
      <c r="B34" s="24" t="s">
        <v>36</v>
      </c>
      <c r="C34" s="27"/>
      <c r="D34" s="25"/>
      <c r="E34" s="26"/>
      <c r="F34" s="26"/>
    </row>
    <row r="35" spans="1:6" ht="45" customHeight="1" x14ac:dyDescent="0.25">
      <c r="A35" s="21">
        <v>18</v>
      </c>
      <c r="B35" s="24" t="s">
        <v>37</v>
      </c>
      <c r="C35" s="27"/>
      <c r="D35" s="25"/>
      <c r="E35" s="26"/>
      <c r="F35" s="26"/>
    </row>
    <row r="36" spans="1:6" ht="45" customHeight="1" x14ac:dyDescent="0.25">
      <c r="A36" s="21">
        <v>19</v>
      </c>
      <c r="B36" s="24" t="s">
        <v>38</v>
      </c>
      <c r="C36" s="27"/>
      <c r="D36" s="25"/>
      <c r="E36" s="26"/>
      <c r="F36" s="26"/>
    </row>
    <row r="37" spans="1:6" ht="45" customHeight="1" x14ac:dyDescent="0.25">
      <c r="A37" s="21">
        <v>20</v>
      </c>
      <c r="B37" s="24" t="s">
        <v>39</v>
      </c>
      <c r="C37" s="27"/>
      <c r="D37" s="25"/>
      <c r="E37" s="26"/>
      <c r="F37" s="26"/>
    </row>
    <row r="38" spans="1:6" ht="45" customHeight="1" x14ac:dyDescent="0.25">
      <c r="A38" s="21">
        <v>21</v>
      </c>
      <c r="B38" s="24" t="s">
        <v>40</v>
      </c>
      <c r="C38" s="27"/>
      <c r="D38" s="25"/>
      <c r="E38" s="26"/>
      <c r="F38" s="26"/>
    </row>
    <row r="39" spans="1:6" ht="45" customHeight="1" x14ac:dyDescent="0.25">
      <c r="A39" s="21">
        <v>22</v>
      </c>
      <c r="B39" s="24" t="s">
        <v>41</v>
      </c>
      <c r="C39" s="27"/>
      <c r="D39" s="25"/>
      <c r="E39" s="26"/>
      <c r="F39" s="26"/>
    </row>
    <row r="40" spans="1:6" ht="45" customHeight="1" x14ac:dyDescent="0.25">
      <c r="A40" s="21">
        <v>23</v>
      </c>
      <c r="B40" s="24" t="s">
        <v>42</v>
      </c>
      <c r="C40" s="27"/>
      <c r="D40" s="25"/>
      <c r="E40" s="26"/>
      <c r="F40" s="26"/>
    </row>
    <row r="41" spans="1:6" ht="45" customHeight="1" x14ac:dyDescent="0.25">
      <c r="A41" s="21">
        <v>24</v>
      </c>
      <c r="B41" s="24" t="s">
        <v>43</v>
      </c>
      <c r="C41" s="27"/>
      <c r="D41" s="25"/>
      <c r="E41" s="26"/>
      <c r="F41" s="26"/>
    </row>
    <row r="42" spans="1:6" ht="45" customHeight="1" x14ac:dyDescent="0.25">
      <c r="A42" s="21">
        <v>25</v>
      </c>
      <c r="B42" s="24" t="s">
        <v>44</v>
      </c>
      <c r="C42" s="27"/>
      <c r="D42" s="25"/>
      <c r="E42" s="26"/>
      <c r="F42" s="26"/>
    </row>
    <row r="43" spans="1:6" ht="45" customHeight="1" x14ac:dyDescent="0.25">
      <c r="A43" s="21">
        <v>26</v>
      </c>
      <c r="B43" s="24" t="s">
        <v>45</v>
      </c>
      <c r="C43" s="27"/>
      <c r="D43" s="25"/>
      <c r="E43" s="26"/>
      <c r="F43" s="26"/>
    </row>
    <row r="44" spans="1:6" ht="45" customHeight="1" x14ac:dyDescent="0.25">
      <c r="A44" s="21">
        <v>27</v>
      </c>
      <c r="B44" s="24" t="s">
        <v>45</v>
      </c>
      <c r="C44" s="27"/>
      <c r="D44" s="25"/>
      <c r="E44" s="26"/>
      <c r="F44" s="26"/>
    </row>
    <row r="45" spans="1:6" ht="45" customHeight="1" x14ac:dyDescent="0.25">
      <c r="A45" s="21">
        <v>28</v>
      </c>
      <c r="B45" s="24" t="s">
        <v>46</v>
      </c>
      <c r="C45" s="27"/>
      <c r="D45" s="25"/>
      <c r="E45" s="26"/>
      <c r="F45" s="26"/>
    </row>
    <row r="46" spans="1:6" ht="45" customHeight="1" x14ac:dyDescent="0.25">
      <c r="A46" s="21">
        <v>29</v>
      </c>
      <c r="B46" s="24" t="s">
        <v>46</v>
      </c>
      <c r="C46" s="27"/>
      <c r="D46" s="25"/>
      <c r="E46" s="26"/>
      <c r="F46" s="26"/>
    </row>
    <row r="47" spans="1:6" ht="45" customHeight="1" x14ac:dyDescent="0.25">
      <c r="A47" s="21">
        <v>30</v>
      </c>
      <c r="B47" s="24" t="s">
        <v>46</v>
      </c>
      <c r="C47" s="27"/>
      <c r="D47" s="25"/>
      <c r="E47" s="26"/>
      <c r="F47" s="26"/>
    </row>
    <row r="48" spans="1:6" ht="45" customHeight="1" x14ac:dyDescent="0.25">
      <c r="A48" s="21">
        <v>31</v>
      </c>
      <c r="B48" s="24" t="s">
        <v>46</v>
      </c>
      <c r="C48" s="27"/>
      <c r="D48" s="25"/>
      <c r="E48" s="26"/>
      <c r="F48" s="26"/>
    </row>
    <row r="49" spans="1:6" ht="45" customHeight="1" x14ac:dyDescent="0.25">
      <c r="A49" s="21">
        <v>32</v>
      </c>
      <c r="B49" s="24" t="s">
        <v>47</v>
      </c>
      <c r="C49" s="27"/>
      <c r="D49" s="25"/>
      <c r="E49" s="26"/>
      <c r="F49" s="26"/>
    </row>
    <row r="50" spans="1:6" ht="45" customHeight="1" x14ac:dyDescent="0.25">
      <c r="A50" s="21">
        <v>33</v>
      </c>
      <c r="B50" s="24" t="s">
        <v>48</v>
      </c>
      <c r="C50" s="27"/>
      <c r="D50" s="25"/>
      <c r="E50" s="26"/>
      <c r="F50" s="26"/>
    </row>
    <row r="51" spans="1:6" ht="45" customHeight="1" x14ac:dyDescent="0.25">
      <c r="A51" s="21">
        <v>34</v>
      </c>
      <c r="B51" s="24" t="s">
        <v>49</v>
      </c>
      <c r="C51" s="27"/>
      <c r="D51" s="25"/>
      <c r="E51" s="26"/>
      <c r="F51" s="26"/>
    </row>
    <row r="52" spans="1:6" ht="45" customHeight="1" x14ac:dyDescent="0.25">
      <c r="A52" s="21">
        <v>35</v>
      </c>
      <c r="B52" s="24" t="s">
        <v>50</v>
      </c>
      <c r="C52" s="27"/>
      <c r="D52" s="25"/>
      <c r="E52" s="26"/>
      <c r="F52" s="26"/>
    </row>
    <row r="53" spans="1:6" ht="45" customHeight="1" x14ac:dyDescent="0.25">
      <c r="A53" s="21">
        <v>36</v>
      </c>
      <c r="B53" s="24" t="s">
        <v>51</v>
      </c>
      <c r="C53" s="27"/>
      <c r="D53" s="25"/>
      <c r="E53" s="26"/>
      <c r="F53" s="26"/>
    </row>
    <row r="54" spans="1:6" ht="45" customHeight="1" x14ac:dyDescent="0.25">
      <c r="A54" s="21">
        <v>37</v>
      </c>
      <c r="B54" s="24" t="s">
        <v>52</v>
      </c>
      <c r="C54" s="27"/>
      <c r="D54" s="25"/>
      <c r="E54" s="26"/>
      <c r="F54" s="26"/>
    </row>
    <row r="55" spans="1:6" ht="45" customHeight="1" x14ac:dyDescent="0.25">
      <c r="A55" s="21">
        <v>38</v>
      </c>
      <c r="B55" s="24" t="s">
        <v>53</v>
      </c>
      <c r="C55" s="27"/>
      <c r="D55" s="25"/>
      <c r="E55" s="26"/>
      <c r="F55" s="26"/>
    </row>
    <row r="56" spans="1:6" ht="45" customHeight="1" x14ac:dyDescent="0.25">
      <c r="A56" s="21">
        <v>39</v>
      </c>
      <c r="B56" s="24" t="s">
        <v>54</v>
      </c>
      <c r="C56" s="27"/>
      <c r="D56" s="25"/>
      <c r="E56" s="26"/>
      <c r="F56" s="26"/>
    </row>
    <row r="57" spans="1:6" ht="45" customHeight="1" x14ac:dyDescent="0.25">
      <c r="A57" s="21">
        <v>40</v>
      </c>
      <c r="B57" s="24" t="s">
        <v>55</v>
      </c>
      <c r="C57" s="27"/>
      <c r="D57" s="25"/>
      <c r="E57" s="26"/>
      <c r="F57" s="26"/>
    </row>
    <row r="58" spans="1:6" ht="45" customHeight="1" x14ac:dyDescent="0.25">
      <c r="A58" s="21">
        <v>41</v>
      </c>
      <c r="B58" s="24" t="s">
        <v>56</v>
      </c>
      <c r="C58" s="27"/>
      <c r="D58" s="25"/>
      <c r="E58" s="26"/>
      <c r="F58" s="26"/>
    </row>
    <row r="59" spans="1:6" ht="45" customHeight="1" x14ac:dyDescent="0.25">
      <c r="A59" s="21">
        <v>42</v>
      </c>
      <c r="B59" s="24" t="s">
        <v>57</v>
      </c>
      <c r="C59" s="27"/>
      <c r="D59" s="25"/>
      <c r="E59" s="26"/>
      <c r="F59" s="26"/>
    </row>
    <row r="60" spans="1:6" ht="45" customHeight="1" x14ac:dyDescent="0.25">
      <c r="A60" s="21">
        <v>43</v>
      </c>
      <c r="B60" s="24" t="s">
        <v>58</v>
      </c>
      <c r="C60" s="27"/>
      <c r="D60" s="25"/>
      <c r="E60" s="26"/>
      <c r="F60" s="26"/>
    </row>
    <row r="61" spans="1:6" ht="45" customHeight="1" x14ac:dyDescent="0.25">
      <c r="A61" s="21">
        <v>44</v>
      </c>
      <c r="B61" s="24" t="s">
        <v>59</v>
      </c>
      <c r="C61" s="27"/>
      <c r="D61" s="25"/>
      <c r="E61" s="26"/>
      <c r="F61" s="26"/>
    </row>
    <row r="62" spans="1:6" ht="45" customHeight="1" x14ac:dyDescent="0.25">
      <c r="A62" s="21">
        <v>45</v>
      </c>
      <c r="B62" s="24" t="s">
        <v>60</v>
      </c>
      <c r="C62" s="27"/>
      <c r="D62" s="25"/>
      <c r="E62" s="26"/>
      <c r="F62" s="26"/>
    </row>
    <row r="63" spans="1:6" ht="45" customHeight="1" x14ac:dyDescent="0.25">
      <c r="A63" s="21">
        <v>46</v>
      </c>
      <c r="B63" s="24" t="s">
        <v>61</v>
      </c>
      <c r="C63" s="27"/>
      <c r="D63" s="25"/>
      <c r="E63" s="26"/>
      <c r="F63" s="26"/>
    </row>
    <row r="64" spans="1:6" ht="45" customHeight="1" x14ac:dyDescent="0.25">
      <c r="A64" s="21">
        <v>47</v>
      </c>
      <c r="B64" s="24" t="s">
        <v>62</v>
      </c>
      <c r="C64" s="27"/>
      <c r="D64" s="25"/>
      <c r="E64" s="26"/>
      <c r="F64" s="26"/>
    </row>
    <row r="65" spans="1:6" ht="45" customHeight="1" x14ac:dyDescent="0.25">
      <c r="A65" s="21">
        <v>48</v>
      </c>
      <c r="B65" s="24" t="s">
        <v>63</v>
      </c>
      <c r="C65" s="27"/>
      <c r="D65" s="25"/>
      <c r="E65" s="26"/>
      <c r="F65" s="26"/>
    </row>
    <row r="66" spans="1:6" ht="45" customHeight="1" x14ac:dyDescent="0.25">
      <c r="A66" s="21">
        <v>49</v>
      </c>
      <c r="B66" s="24" t="s">
        <v>64</v>
      </c>
      <c r="C66" s="27"/>
      <c r="D66" s="25"/>
      <c r="E66" s="26"/>
      <c r="F66" s="26"/>
    </row>
    <row r="67" spans="1:6" ht="45" customHeight="1" x14ac:dyDescent="0.25">
      <c r="A67" s="21">
        <v>50</v>
      </c>
      <c r="B67" s="24" t="s">
        <v>65</v>
      </c>
      <c r="C67" s="27"/>
      <c r="D67" s="25"/>
      <c r="E67" s="26"/>
      <c r="F67" s="26"/>
    </row>
    <row r="68" spans="1:6" ht="45" customHeight="1" x14ac:dyDescent="0.25">
      <c r="A68" s="21">
        <v>51</v>
      </c>
      <c r="B68" s="24" t="s">
        <v>66</v>
      </c>
      <c r="C68" s="27"/>
      <c r="D68" s="25"/>
      <c r="E68" s="26"/>
      <c r="F68" s="26"/>
    </row>
    <row r="69" spans="1:6" ht="45" customHeight="1" x14ac:dyDescent="0.25">
      <c r="A69" s="21">
        <v>52</v>
      </c>
      <c r="B69" s="24" t="s">
        <v>67</v>
      </c>
      <c r="C69" s="27"/>
      <c r="D69" s="25"/>
      <c r="E69" s="26"/>
      <c r="F69" s="26"/>
    </row>
    <row r="70" spans="1:6" ht="45" customHeight="1" x14ac:dyDescent="0.25">
      <c r="A70" s="21">
        <v>53</v>
      </c>
      <c r="B70" s="24" t="s">
        <v>68</v>
      </c>
      <c r="C70" s="27"/>
      <c r="D70" s="25"/>
      <c r="E70" s="26"/>
      <c r="F70" s="26"/>
    </row>
    <row r="71" spans="1:6" ht="45" customHeight="1" x14ac:dyDescent="0.25">
      <c r="A71" s="21">
        <v>54</v>
      </c>
      <c r="B71" s="24" t="s">
        <v>69</v>
      </c>
      <c r="C71" s="27"/>
      <c r="D71" s="25"/>
      <c r="E71" s="26"/>
      <c r="F71" s="26"/>
    </row>
    <row r="72" spans="1:6" ht="45" customHeight="1" x14ac:dyDescent="0.25">
      <c r="A72" s="21">
        <v>55</v>
      </c>
      <c r="B72" s="24" t="s">
        <v>70</v>
      </c>
      <c r="C72" s="27"/>
      <c r="D72" s="25"/>
      <c r="E72" s="26"/>
      <c r="F72" s="26"/>
    </row>
    <row r="73" spans="1:6" ht="45" customHeight="1" x14ac:dyDescent="0.25">
      <c r="A73" s="21">
        <v>56</v>
      </c>
      <c r="B73" s="24" t="s">
        <v>71</v>
      </c>
      <c r="C73" s="27"/>
      <c r="D73" s="25"/>
      <c r="E73" s="26"/>
      <c r="F73" s="26"/>
    </row>
    <row r="74" spans="1:6" ht="45" customHeight="1" x14ac:dyDescent="0.25">
      <c r="A74" s="21">
        <v>57</v>
      </c>
      <c r="B74" s="24" t="s">
        <v>72</v>
      </c>
      <c r="C74" s="27"/>
      <c r="D74" s="25"/>
      <c r="E74" s="26"/>
      <c r="F74" s="26"/>
    </row>
    <row r="75" spans="1:6" ht="45" customHeight="1" x14ac:dyDescent="0.25">
      <c r="A75" s="21">
        <v>58</v>
      </c>
      <c r="B75" s="24" t="s">
        <v>73</v>
      </c>
      <c r="C75" s="27"/>
      <c r="D75" s="25"/>
      <c r="E75" s="26"/>
      <c r="F75" s="26"/>
    </row>
    <row r="76" spans="1:6" ht="45" customHeight="1" x14ac:dyDescent="0.25">
      <c r="A76" s="21">
        <v>59</v>
      </c>
      <c r="B76" s="24" t="s">
        <v>74</v>
      </c>
      <c r="C76" s="27"/>
      <c r="D76" s="25"/>
      <c r="E76" s="26"/>
      <c r="F76" s="26"/>
    </row>
    <row r="77" spans="1:6" ht="45" customHeight="1" x14ac:dyDescent="0.25">
      <c r="A77" s="21">
        <v>60</v>
      </c>
      <c r="B77" s="24" t="s">
        <v>75</v>
      </c>
      <c r="C77" s="27"/>
      <c r="D77" s="25"/>
      <c r="E77" s="26"/>
      <c r="F77" s="26"/>
    </row>
    <row r="78" spans="1:6" ht="45" customHeight="1" x14ac:dyDescent="0.25">
      <c r="A78" s="21">
        <v>61</v>
      </c>
      <c r="B78" s="24" t="s">
        <v>76</v>
      </c>
      <c r="C78" s="27"/>
      <c r="D78" s="25"/>
      <c r="E78" s="26"/>
      <c r="F78" s="26"/>
    </row>
    <row r="79" spans="1:6" ht="45" customHeight="1" x14ac:dyDescent="0.25">
      <c r="A79" s="21">
        <v>62</v>
      </c>
      <c r="B79" s="24" t="s">
        <v>77</v>
      </c>
      <c r="C79" s="27"/>
      <c r="D79" s="25"/>
      <c r="E79" s="26"/>
      <c r="F79" s="26"/>
    </row>
    <row r="80" spans="1:6" ht="45" customHeight="1" x14ac:dyDescent="0.25">
      <c r="A80" s="21">
        <v>63</v>
      </c>
      <c r="B80" s="24" t="s">
        <v>78</v>
      </c>
      <c r="C80" s="27"/>
      <c r="D80" s="25"/>
      <c r="E80" s="26"/>
      <c r="F80" s="26"/>
    </row>
    <row r="81" spans="1:14" ht="45" customHeight="1" x14ac:dyDescent="0.25">
      <c r="A81" s="21">
        <v>64</v>
      </c>
      <c r="B81" s="24" t="s">
        <v>79</v>
      </c>
      <c r="C81" s="27"/>
      <c r="D81" s="25"/>
      <c r="E81" s="26"/>
      <c r="F81" s="26"/>
    </row>
    <row r="82" spans="1:14" ht="45" customHeight="1" x14ac:dyDescent="0.25">
      <c r="A82" s="21">
        <v>65</v>
      </c>
      <c r="B82" s="24" t="s">
        <v>80</v>
      </c>
      <c r="C82" s="27"/>
      <c r="D82" s="25"/>
      <c r="E82" s="26"/>
      <c r="F82" s="26"/>
    </row>
    <row r="83" spans="1:14" ht="45" customHeight="1" x14ac:dyDescent="0.25">
      <c r="A83" s="21">
        <v>66</v>
      </c>
      <c r="B83" s="24" t="s">
        <v>81</v>
      </c>
      <c r="C83" s="27"/>
      <c r="D83" s="25"/>
      <c r="E83" s="26"/>
      <c r="F83" s="26"/>
      <c r="G83" s="5">
        <f>25.666*0.95</f>
        <v>24.3827</v>
      </c>
    </row>
    <row r="84" spans="1:14" ht="31.8" customHeight="1" x14ac:dyDescent="0.25">
      <c r="A84" s="62" t="s">
        <v>102</v>
      </c>
      <c r="B84" s="62"/>
      <c r="C84" s="62"/>
      <c r="D84" s="62"/>
      <c r="E84" s="62"/>
      <c r="F84" s="62"/>
    </row>
    <row r="85" spans="1:14" ht="46.8" customHeight="1" x14ac:dyDescent="0.25">
      <c r="A85" s="42" t="s">
        <v>82</v>
      </c>
      <c r="B85" s="43"/>
      <c r="C85" s="43"/>
      <c r="D85" s="43"/>
      <c r="E85" s="43"/>
      <c r="F85" s="44"/>
      <c r="G85" s="5">
        <f>24.383333/0.95</f>
        <v>25.666666315789474</v>
      </c>
    </row>
    <row r="86" spans="1:14" ht="34.200000000000003" customHeight="1" x14ac:dyDescent="0.25">
      <c r="A86" s="45" t="s">
        <v>83</v>
      </c>
      <c r="B86" s="46"/>
      <c r="C86" s="49" t="s">
        <v>84</v>
      </c>
      <c r="D86" s="50"/>
      <c r="E86" s="50"/>
      <c r="F86" s="50"/>
    </row>
    <row r="87" spans="1:14" ht="33" customHeight="1" x14ac:dyDescent="0.25">
      <c r="A87" s="47"/>
      <c r="B87" s="48"/>
      <c r="C87" s="23" t="s">
        <v>85</v>
      </c>
      <c r="D87" s="49" t="s">
        <v>86</v>
      </c>
      <c r="E87" s="51"/>
      <c r="F87" s="28" t="s">
        <v>87</v>
      </c>
      <c r="L87" s="29"/>
    </row>
    <row r="88" spans="1:14" ht="42" customHeight="1" x14ac:dyDescent="0.25">
      <c r="A88" s="39" t="s">
        <v>88</v>
      </c>
      <c r="B88" s="39"/>
      <c r="C88" s="30" t="s">
        <v>89</v>
      </c>
      <c r="D88" s="37" t="s">
        <v>90</v>
      </c>
      <c r="E88" s="38"/>
      <c r="F88" s="31"/>
      <c r="L88" s="32"/>
      <c r="N88" s="33"/>
    </row>
    <row r="89" spans="1:14" ht="42" customHeight="1" x14ac:dyDescent="0.25">
      <c r="A89" s="39" t="s">
        <v>4</v>
      </c>
      <c r="B89" s="39"/>
      <c r="C89" s="30" t="s">
        <v>91</v>
      </c>
      <c r="D89" s="37" t="s">
        <v>92</v>
      </c>
      <c r="E89" s="38"/>
      <c r="F89" s="31"/>
      <c r="G89" s="30" t="s">
        <v>93</v>
      </c>
      <c r="H89" s="34" t="s">
        <v>94</v>
      </c>
      <c r="I89" s="30" t="s">
        <v>91</v>
      </c>
      <c r="J89" s="34" t="s">
        <v>92</v>
      </c>
      <c r="K89" s="34"/>
      <c r="L89" s="35"/>
    </row>
    <row r="90" spans="1:14" ht="42" customHeight="1" x14ac:dyDescent="0.25">
      <c r="A90" s="39" t="s">
        <v>4</v>
      </c>
      <c r="B90" s="39"/>
      <c r="C90" s="30" t="s">
        <v>95</v>
      </c>
      <c r="D90" s="37" t="s">
        <v>96</v>
      </c>
      <c r="E90" s="38"/>
      <c r="F90" s="31"/>
    </row>
    <row r="91" spans="1:14" ht="42" customHeight="1" x14ac:dyDescent="0.25">
      <c r="A91" s="39" t="s">
        <v>97</v>
      </c>
      <c r="B91" s="39"/>
      <c r="C91" s="30" t="s">
        <v>98</v>
      </c>
      <c r="D91" s="40" t="s">
        <v>99</v>
      </c>
      <c r="E91" s="41"/>
      <c r="F91" s="31"/>
    </row>
    <row r="92" spans="1:14" ht="42" customHeight="1" x14ac:dyDescent="0.25">
      <c r="A92" s="36" t="s">
        <v>8</v>
      </c>
      <c r="B92" s="36"/>
      <c r="C92" s="30" t="s">
        <v>100</v>
      </c>
      <c r="D92" s="37" t="s">
        <v>101</v>
      </c>
      <c r="E92" s="38"/>
      <c r="F92" s="31"/>
    </row>
  </sheetData>
  <mergeCells count="26">
    <mergeCell ref="A84:F84"/>
    <mergeCell ref="D3:F3"/>
    <mergeCell ref="D4:F4"/>
    <mergeCell ref="D5:F5"/>
    <mergeCell ref="D6:F6"/>
    <mergeCell ref="A7:F7"/>
    <mergeCell ref="D10:F10"/>
    <mergeCell ref="A15:F15"/>
    <mergeCell ref="A16:F16"/>
    <mergeCell ref="D17:F17"/>
    <mergeCell ref="C18:C22"/>
    <mergeCell ref="D18:F21"/>
    <mergeCell ref="A85:F85"/>
    <mergeCell ref="A86:B87"/>
    <mergeCell ref="C86:F86"/>
    <mergeCell ref="D87:E87"/>
    <mergeCell ref="A88:B88"/>
    <mergeCell ref="D88:E88"/>
    <mergeCell ref="A92:B92"/>
    <mergeCell ref="D92:E92"/>
    <mergeCell ref="A89:B89"/>
    <mergeCell ref="D89:E89"/>
    <mergeCell ref="A90:B90"/>
    <mergeCell ref="D90:E90"/>
    <mergeCell ref="A91:B91"/>
    <mergeCell ref="D91:E91"/>
  </mergeCells>
  <pageMargins left="0.7" right="0.7" top="0.75" bottom="0.75" header="0.3" footer="0.3"/>
  <pageSetup paperSize="9" scale="5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Венедиктов</dc:creator>
  <cp:lastModifiedBy>Денис Венедиктов</cp:lastModifiedBy>
  <cp:lastPrinted>2026-08-11T06:10:55Z</cp:lastPrinted>
  <dcterms:created xsi:type="dcterms:W3CDTF">2026-08-05T07:13:36Z</dcterms:created>
  <dcterms:modified xsi:type="dcterms:W3CDTF">2026-08-11T06:10:57Z</dcterms:modified>
</cp:coreProperties>
</file>