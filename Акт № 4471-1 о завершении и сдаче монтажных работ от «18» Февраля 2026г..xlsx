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4471 станция скачивания электродов\30%\"/>
    </mc:Choice>
  </mc:AlternateContent>
  <xr:revisionPtr revIDLastSave="0" documentId="13_ncr:1_{F24D16FF-1E9F-4E86-B9CE-6A550B0BC628}" xr6:coauthVersionLast="47" xr6:coauthVersionMax="47" xr10:uidLastSave="{00000000-0000-0000-0000-000000000000}"/>
  <bookViews>
    <workbookView xWindow="-28920" yWindow="-120" windowWidth="29040" windowHeight="15720" xr2:uid="{3B900ECD-1B53-494B-B28E-85F2368BEACA}"/>
  </bookViews>
  <sheets>
    <sheet name="Лист1" sheetId="1" r:id="rId1"/>
  </sheets>
  <definedNames>
    <definedName name="_xlnm.Print_Area" localSheetId="0">Лист1!$A$1:$F$30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1" l="1"/>
  <c r="J21" i="1"/>
</calcChain>
</file>

<file path=xl/sharedStrings.xml><?xml version="1.0" encoding="utf-8"?>
<sst xmlns="http://schemas.openxmlformats.org/spreadsheetml/2006/main" count="49" uniqueCount="45">
  <si>
    <t>Нижегородская область, г. Выкса,</t>
  </si>
  <si>
    <t>форма 1 ВСН 478-86</t>
  </si>
  <si>
    <t>Проммикрорайон №7, территория</t>
  </si>
  <si>
    <t>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</si>
  <si>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</si>
  <si>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</si>
  <si>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 и ее ведомственная принадлежность)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</si>
  <si>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</si>
  <si>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</si>
  <si>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</si>
  <si>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 и ее ведомственная принадлежность)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</si>
  <si>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</si>
  <si>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</si>
  <si>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>«18» Февраля 2026г.</t>
  </si>
  <si>
    <t>(наименование технологического узла)</t>
  </si>
  <si>
    <t>Акт № 4471/1 о завершении и сдаче монтажных работ</t>
  </si>
  <si>
    <t>ACT № 4471/1 on completion and acceptance of installation works</t>
  </si>
  <si>
    <t>№
 п/п</t>
  </si>
  <si>
    <t>Наименование и номер по рабочим чертежам/ 
Name and number according to working drawings</t>
  </si>
  <si>
    <t>Номер и наименование рабочих чертежей и эксплуатационной документации (инструкция по монтажу) предприятия-изготовителя/ 
Number and name of working drawings and operational documentation (installation instructions) of the manufacturer</t>
  </si>
  <si>
    <t xml:space="preserve">Заключение о результатах монтажных работ/ Conclusion on the results of installation works </t>
  </si>
  <si>
    <t>УСТРОЙСТВО ПАРКОВКИ ЭЛЕКТРОДА; Код детали: 8.326038.C; Кол-во: 1шт; Вес общий: 0,45; Упак.№ 70631.</t>
  </si>
  <si>
    <t xml:space="preserve">
Рабочие чертежи фирмы Danieli
DPC13Y144471
черт. 8.936592.Н
Рабочие чертежи  
АО «Магнитогорский гипромез»
М80080.04.01-ТХ1
Электросталеплавильный цех (ЭСПЦ).
Участок внепечной обработки стали.
АПК №1;</t>
  </si>
  <si>
    <t>Работы выполнены в соответствии с проектом/ 
Works performed in accordance with the project</t>
  </si>
  <si>
    <t>УСТРОЙСТВО ПАРКОВКИ ЭЛЕКТРОДА; Код детали: 8.326038.C; Кол-во: 1шт; Вес общий: 0,45; Упак.№ 70632.</t>
  </si>
  <si>
    <t>СТАНЦИЯ СОЕДИНЕНИЯ ЭЛЕКТРОДОВ; Код детали: 8.326036.T; Кол-во: 1шт; Вес общий: 0,8; Упак.№ 70634.</t>
  </si>
  <si>
    <t xml:space="preserve">Приложение: Исполнительная схема №316 планово положение в осях В-Г/21-22 Jet 4471 Монтаж оборудования после сварки. </t>
  </si>
  <si>
    <t>Вес 30% от объема:2,150тн.=0,645тн.</t>
  </si>
  <si>
    <t>Наименование организации/ Name of organization</t>
  </si>
  <si>
    <t>Представитель /
representative</t>
  </si>
  <si>
    <t>Должность/ 
position</t>
  </si>
  <si>
    <t xml:space="preserve">Ф.И.О./ 
Name </t>
  </si>
  <si>
    <t>Подпись/ 
Signature</t>
  </si>
  <si>
    <t>АО «ВМЗ» ДКС</t>
  </si>
  <si>
    <t>Менеджер проекта</t>
  </si>
  <si>
    <t>Белоусов А.Г.</t>
  </si>
  <si>
    <t>Механик Участка</t>
  </si>
  <si>
    <t>Назаренко К.А.</t>
  </si>
  <si>
    <t>Ведущий инженер по монтажу механического обрудования УСК ДКС "ВМЗ"</t>
  </si>
  <si>
    <t>Сабко А.А.</t>
  </si>
  <si>
    <t>Danieli</t>
  </si>
  <si>
    <t>Представитель Danieli</t>
  </si>
  <si>
    <t>Технический руководитель проекта</t>
  </si>
  <si>
    <t>Глыжко Г. В.</t>
  </si>
  <si>
    <t>Станция свинчивания электродов АПК№1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</si>
</sst>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00000"/>
    <numFmt numFmtId="166" formatCode="0.0000"/>
  </numFmts>
  <fonts count="14" x14ac:knownFonts="1">
    <font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name val="Arial"/>
      <family val="2"/>
      <charset val="204"/>
    </font>
    <font>
      <sz val="11"/>
      <name val="Arial"/>
      <family val="2"/>
      <charset val="204"/>
    </font>
    <font>
      <i/>
      <sz val="8"/>
      <name val="Arial"/>
      <family val="2"/>
      <charset val="204"/>
    </font>
    <font>
      <b/>
      <u/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1" fillId="0" borderId="0"/>
  </cellStyleXfs>
  <cellXfs count="72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1" fillId="0" borderId="1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5" fillId="0" borderId="0" xfId="1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1" applyFont="1" applyAlignment="1">
      <alignment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6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0" fontId="4" fillId="0" borderId="1" xfId="0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5" fillId="0" borderId="0" xfId="1" applyFont="1" applyAlignment="1">
      <alignment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center" wrapText="1"/>
    </xf>
    <xf numFmtId="0" fontId="13" fillId="0" borderId="0" xfId="2" applyFont="1" applyAlignment="1">
      <alignment vertical="center" wrapText="1"/>
    </xf>
    <xf numFmtId="0" fontId="10" fillId="0" borderId="4" xfId="0" applyFont="1" applyBorder="1" applyAlignment="1">
      <alignment horizontal="center" vertical="center" wrapText="1"/>
    </xf>
    <xf numFmtId="164" fontId="3" fillId="0" borderId="0" xfId="0" applyNumberFormat="1" applyFont="1"/>
    <xf numFmtId="0" fontId="4" fillId="0" borderId="5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165" fontId="3" fillId="0" borderId="0" xfId="0" applyNumberFormat="1" applyFont="1"/>
    <xf numFmtId="166" fontId="3" fillId="0" borderId="0" xfId="0" applyNumberFormat="1" applyFont="1"/>
    <xf numFmtId="0" fontId="4" fillId="0" borderId="5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12" fillId="0" borderId="4" xfId="2" applyFont="1" applyBorder="1" applyAlignment="1">
      <alignment horizontal="left" vertical="center" wrapText="1"/>
    </xf>
    <xf numFmtId="0" fontId="12" fillId="0" borderId="2" xfId="2" applyFont="1" applyBorder="1" applyAlignment="1">
      <alignment horizontal="left" vertical="center" wrapText="1"/>
    </xf>
    <xf numFmtId="0" fontId="12" fillId="0" borderId="6" xfId="2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7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4" fillId="0" borderId="1" xfId="1" applyFont="1" applyBorder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4" fillId="0" borderId="3" xfId="1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14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</cellXfs>
  <cellStyles count="3">
    <cellStyle name="Обычный" xfId="0" builtinId="0"/>
    <cellStyle name="Обычный 5" xfId="2" xr:uid="{95468080-922D-4828-A9C1-1B832A86A7B2}"/>
    <cellStyle name="Обычный_Пример акта" xfId="1" xr:uid="{7388421B-DFB0-46CF-AD4D-7089E827B5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95DF2-DECC-4067-B981-4F277855FD04}">
  <sheetPr>
    <pageSetUpPr fitToPage="1"/>
  </sheetPr>
  <dimension ref="A1:N30"/>
  <sheetViews>
    <sheetView tabSelected="1" view="pageBreakPreview" topLeftCell="B1" zoomScale="115" zoomScaleNormal="100" zoomScaleSheetLayoutView="115" workbookViewId="0">
      <selection activeCell="B11" sqref="B11"/>
    </sheetView>
  </sheetViews>
  <sheetFormatPr defaultRowHeight="13.8" x14ac:dyDescent="0.25"/>
  <cols>
    <col min="1" max="1" width="6.77734375" style="5" customWidth="1"/>
    <col min="2" max="2" width="68.5546875" style="5" customWidth="1"/>
    <col min="3" max="3" width="43.6640625" style="5" customWidth="1"/>
    <col min="4" max="4" width="11.21875" style="5" customWidth="1"/>
    <col min="5" max="5" width="12.77734375" style="5" customWidth="1"/>
    <col min="6" max="6" width="17.44140625" style="5" customWidth="1"/>
    <col min="7" max="7" width="8.88671875" style="5"/>
    <col min="8" max="8" width="25.5546875" style="5" customWidth="1"/>
    <col min="9" max="11" width="8.88671875" style="5"/>
    <col min="12" max="12" width="13.44140625" style="5" bestFit="1" customWidth="1"/>
    <col min="13" max="13" width="8.88671875" style="5"/>
    <col min="14" max="14" width="9.88671875" style="5" bestFit="1" customWidth="1"/>
    <col min="15" max="16384" width="8.88671875" style="5"/>
  </cols>
  <sheetData>
    <row r="1" spans="1:6" ht="13.8" customHeight="1" x14ac:dyDescent="0.25">
      <c r="A1" s="1"/>
      <c r="B1" s="2" t="s">
        <v>0</v>
      </c>
      <c r="C1" s="3"/>
      <c r="D1" s="3"/>
      <c r="E1" s="3"/>
      <c r="F1" s="4" t="s">
        <v>1</v>
      </c>
    </row>
    <row r="2" spans="1:6" ht="13.8" customHeight="1" x14ac:dyDescent="0.25">
      <c r="A2" s="6"/>
      <c r="B2" s="7" t="s">
        <v>2</v>
      </c>
      <c r="C2" s="4"/>
      <c r="D2" s="4"/>
      <c r="E2" s="4"/>
      <c r="F2" s="4"/>
    </row>
    <row r="3" spans="1:6" ht="17.399999999999999" customHeight="1" x14ac:dyDescent="0.3">
      <c r="A3" s="8"/>
      <c r="B3" s="9" t="s">
        <v>3</v>
      </c>
      <c r="C3" s="10"/>
      <c r="D3" s="65" t="s">
        <v>4</v>
      </c>
      <c r="E3" s="65"/>
      <c r="F3" s="65"/>
    </row>
    <row r="4" spans="1:6" ht="21.6" customHeight="1" x14ac:dyDescent="0.25">
      <c r="A4" s="11"/>
      <c r="B4" s="12" t="s">
        <v>5</v>
      </c>
      <c r="C4" s="13"/>
      <c r="D4" s="66" t="s">
        <v>6</v>
      </c>
      <c r="E4" s="66"/>
      <c r="F4" s="66"/>
    </row>
    <row r="5" spans="1:6" ht="27" customHeight="1" thickBot="1" x14ac:dyDescent="0.35">
      <c r="A5" s="14"/>
      <c r="B5" s="15" t="s">
        <v>7</v>
      </c>
      <c r="C5" s="10"/>
      <c r="D5" s="67" t="s">
        <v>8</v>
      </c>
      <c r="E5" s="67"/>
      <c r="F5" s="67"/>
    </row>
    <row r="6" spans="1:6" ht="21.6" customHeight="1" x14ac:dyDescent="0.25">
      <c r="A6" s="16"/>
      <c r="B6" s="12" t="s">
        <v>9</v>
      </c>
      <c r="C6" s="13"/>
      <c r="D6" s="68" t="s">
        <v>10</v>
      </c>
      <c r="E6" s="68"/>
      <c r="F6" s="68"/>
    </row>
    <row r="7" spans="1:6" ht="18.75" customHeight="1" x14ac:dyDescent="0.3">
      <c r="A7" s="69"/>
      <c r="B7" s="69"/>
      <c r="C7" s="69"/>
      <c r="D7" s="69"/>
      <c r="E7" s="69"/>
      <c r="F7" s="69"/>
    </row>
    <row r="8" spans="1:6" ht="46.8" customHeight="1" x14ac:dyDescent="0.3">
      <c r="A8" s="8"/>
      <c r="B8" s="17" t="s">
        <v>11</v>
      </c>
      <c r="C8" s="18"/>
      <c r="D8" s="18"/>
      <c r="E8" s="18"/>
      <c r="F8" s="18"/>
    </row>
    <row r="9" spans="1:6" ht="16.2" customHeight="1" x14ac:dyDescent="0.25">
      <c r="A9" s="11"/>
      <c r="B9" s="12" t="s">
        <v>12</v>
      </c>
      <c r="C9" s="11"/>
      <c r="D9" s="11"/>
      <c r="E9" s="11"/>
      <c r="F9" s="11"/>
    </row>
    <row r="10" spans="1:6" ht="36" customHeight="1" x14ac:dyDescent="0.3">
      <c r="A10" s="8"/>
      <c r="B10" s="19" t="s">
        <v>44</v>
      </c>
      <c r="C10" s="16"/>
      <c r="D10" s="70" t="s">
        <v>13</v>
      </c>
      <c r="E10" s="71"/>
      <c r="F10" s="71"/>
    </row>
    <row r="11" spans="1:6" ht="14.1" customHeight="1" x14ac:dyDescent="0.25">
      <c r="A11" s="16"/>
      <c r="B11" s="20" t="s">
        <v>14</v>
      </c>
      <c r="D11" s="16"/>
      <c r="E11" s="16"/>
      <c r="F11" s="13"/>
    </row>
    <row r="12" spans="1:6" ht="14.1" hidden="1" customHeight="1" x14ac:dyDescent="0.25">
      <c r="A12" s="16"/>
      <c r="B12" s="20"/>
      <c r="C12" s="16"/>
      <c r="D12" s="16"/>
      <c r="E12" s="16"/>
      <c r="F12" s="13"/>
    </row>
    <row r="13" spans="1:6" ht="14.1" hidden="1" customHeight="1" x14ac:dyDescent="0.25">
      <c r="A13" s="16">
        <v>3321</v>
      </c>
      <c r="B13" s="20"/>
      <c r="C13" s="16"/>
      <c r="D13" s="16"/>
      <c r="E13" s="16"/>
      <c r="F13" s="13"/>
    </row>
    <row r="14" spans="1:6" ht="14.1" customHeight="1" x14ac:dyDescent="0.25">
      <c r="A14" s="3"/>
      <c r="B14" s="3"/>
      <c r="C14" s="21"/>
      <c r="D14" s="21"/>
      <c r="E14" s="21"/>
      <c r="F14" s="21"/>
    </row>
    <row r="15" spans="1:6" ht="21.6" customHeight="1" x14ac:dyDescent="0.25">
      <c r="A15" s="52" t="s">
        <v>15</v>
      </c>
      <c r="B15" s="52"/>
      <c r="C15" s="52"/>
      <c r="D15" s="52"/>
      <c r="E15" s="52"/>
      <c r="F15" s="52"/>
    </row>
    <row r="16" spans="1:6" ht="21.6" customHeight="1" x14ac:dyDescent="0.25">
      <c r="A16" s="52" t="s">
        <v>16</v>
      </c>
      <c r="B16" s="53"/>
      <c r="C16" s="53"/>
      <c r="D16" s="53"/>
      <c r="E16" s="53"/>
      <c r="F16" s="53"/>
    </row>
    <row r="17" spans="1:14" ht="126.6" customHeight="1" x14ac:dyDescent="0.25">
      <c r="A17" s="22" t="s">
        <v>17</v>
      </c>
      <c r="B17" s="23" t="s">
        <v>18</v>
      </c>
      <c r="C17" s="24" t="s">
        <v>19</v>
      </c>
      <c r="D17" s="49" t="s">
        <v>20</v>
      </c>
      <c r="E17" s="50"/>
      <c r="F17" s="51"/>
    </row>
    <row r="18" spans="1:14" ht="55.8" customHeight="1" x14ac:dyDescent="0.25">
      <c r="A18" s="22">
        <v>1</v>
      </c>
      <c r="B18" s="25" t="s">
        <v>21</v>
      </c>
      <c r="C18" s="54" t="s">
        <v>22</v>
      </c>
      <c r="D18" s="56" t="s">
        <v>23</v>
      </c>
      <c r="E18" s="57"/>
      <c r="F18" s="58"/>
    </row>
    <row r="19" spans="1:14" ht="55.8" customHeight="1" x14ac:dyDescent="0.25">
      <c r="A19" s="22">
        <v>2</v>
      </c>
      <c r="B19" s="25" t="s">
        <v>21</v>
      </c>
      <c r="C19" s="55"/>
      <c r="D19" s="59"/>
      <c r="E19" s="60"/>
      <c r="F19" s="61"/>
    </row>
    <row r="20" spans="1:14" ht="55.8" customHeight="1" x14ac:dyDescent="0.25">
      <c r="A20" s="22">
        <v>3</v>
      </c>
      <c r="B20" s="25" t="s">
        <v>24</v>
      </c>
      <c r="C20" s="55"/>
      <c r="D20" s="59"/>
      <c r="E20" s="60"/>
      <c r="F20" s="61"/>
    </row>
    <row r="21" spans="1:14" ht="55.8" customHeight="1" x14ac:dyDescent="0.25">
      <c r="A21" s="26">
        <v>4</v>
      </c>
      <c r="B21" s="27" t="s">
        <v>25</v>
      </c>
      <c r="C21" s="55"/>
      <c r="D21" s="59"/>
      <c r="E21" s="60"/>
      <c r="F21" s="61"/>
      <c r="J21" s="5">
        <f>2.15*0.3</f>
        <v>0.64499999999999991</v>
      </c>
    </row>
    <row r="22" spans="1:14" ht="27" customHeight="1" x14ac:dyDescent="0.25">
      <c r="A22" s="62" t="s">
        <v>26</v>
      </c>
      <c r="B22" s="63"/>
      <c r="C22" s="63"/>
      <c r="D22" s="63"/>
      <c r="E22" s="63"/>
      <c r="F22" s="64"/>
    </row>
    <row r="23" spans="1:14" ht="36" customHeight="1" x14ac:dyDescent="0.25">
      <c r="A23" s="42" t="s">
        <v>27</v>
      </c>
      <c r="B23" s="42"/>
      <c r="C23" s="43"/>
      <c r="D23" s="43"/>
      <c r="E23" s="43"/>
      <c r="F23" s="44"/>
      <c r="G23" s="28"/>
      <c r="H23" s="28"/>
      <c r="J23" s="5">
        <f>18.929*0.95</f>
        <v>17.982549999999996</v>
      </c>
    </row>
    <row r="24" spans="1:14" ht="34.200000000000003" customHeight="1" x14ac:dyDescent="0.25">
      <c r="A24" s="45" t="s">
        <v>28</v>
      </c>
      <c r="B24" s="46"/>
      <c r="C24" s="49" t="s">
        <v>29</v>
      </c>
      <c r="D24" s="50"/>
      <c r="E24" s="50"/>
      <c r="F24" s="51"/>
    </row>
    <row r="25" spans="1:14" ht="33" customHeight="1" x14ac:dyDescent="0.25">
      <c r="A25" s="47"/>
      <c r="B25" s="48"/>
      <c r="C25" s="24" t="s">
        <v>30</v>
      </c>
      <c r="D25" s="49" t="s">
        <v>31</v>
      </c>
      <c r="E25" s="51"/>
      <c r="F25" s="29" t="s">
        <v>32</v>
      </c>
      <c r="L25" s="30"/>
    </row>
    <row r="26" spans="1:14" ht="42" customHeight="1" x14ac:dyDescent="0.25">
      <c r="A26" s="39" t="s">
        <v>33</v>
      </c>
      <c r="B26" s="39"/>
      <c r="C26" s="31" t="s">
        <v>34</v>
      </c>
      <c r="D26" s="37" t="s">
        <v>35</v>
      </c>
      <c r="E26" s="38"/>
      <c r="F26" s="32"/>
      <c r="L26" s="33"/>
      <c r="N26" s="34"/>
    </row>
    <row r="27" spans="1:14" ht="42" customHeight="1" x14ac:dyDescent="0.25">
      <c r="A27" s="39" t="s">
        <v>4</v>
      </c>
      <c r="B27" s="39"/>
      <c r="C27" s="35" t="s">
        <v>36</v>
      </c>
      <c r="D27" s="37" t="s">
        <v>37</v>
      </c>
      <c r="E27" s="38"/>
      <c r="F27" s="32"/>
    </row>
    <row r="28" spans="1:14" ht="42" customHeight="1" x14ac:dyDescent="0.25">
      <c r="A28" s="39" t="s">
        <v>4</v>
      </c>
      <c r="B28" s="39"/>
      <c r="C28" s="35" t="s">
        <v>38</v>
      </c>
      <c r="D28" s="40" t="s">
        <v>39</v>
      </c>
      <c r="E28" s="41"/>
      <c r="F28" s="32"/>
    </row>
    <row r="29" spans="1:14" ht="42" customHeight="1" x14ac:dyDescent="0.25">
      <c r="A29" s="39" t="s">
        <v>40</v>
      </c>
      <c r="B29" s="39"/>
      <c r="C29" s="35" t="s">
        <v>41</v>
      </c>
      <c r="D29" s="40"/>
      <c r="E29" s="41"/>
      <c r="F29" s="32"/>
    </row>
    <row r="30" spans="1:14" ht="42" customHeight="1" x14ac:dyDescent="0.25">
      <c r="A30" s="36" t="s">
        <v>8</v>
      </c>
      <c r="B30" s="36"/>
      <c r="C30" s="35" t="s">
        <v>42</v>
      </c>
      <c r="D30" s="37" t="s">
        <v>43</v>
      </c>
      <c r="E30" s="38"/>
      <c r="F30" s="32"/>
    </row>
  </sheetData>
  <mergeCells count="26">
    <mergeCell ref="A22:F22"/>
    <mergeCell ref="D3:F3"/>
    <mergeCell ref="D4:F4"/>
    <mergeCell ref="D5:F5"/>
    <mergeCell ref="D6:F6"/>
    <mergeCell ref="A7:F7"/>
    <mergeCell ref="D10:F10"/>
    <mergeCell ref="A15:F15"/>
    <mergeCell ref="A16:F16"/>
    <mergeCell ref="D17:F17"/>
    <mergeCell ref="C18:C21"/>
    <mergeCell ref="D18:F21"/>
    <mergeCell ref="A23:F23"/>
    <mergeCell ref="A24:B25"/>
    <mergeCell ref="C24:F24"/>
    <mergeCell ref="D25:E25"/>
    <mergeCell ref="A26:B26"/>
    <mergeCell ref="D26:E26"/>
    <mergeCell ref="A30:B30"/>
    <mergeCell ref="D30:E30"/>
    <mergeCell ref="A27:B27"/>
    <mergeCell ref="D27:E27"/>
    <mergeCell ref="A28:B28"/>
    <mergeCell ref="D28:E28"/>
    <mergeCell ref="A29:B29"/>
    <mergeCell ref="D29:E29"/>
  </mergeCells>
  <pageMargins left="0.7" right="0.7" top="0.75" bottom="0.75" header="0.3" footer="0.3"/>
  <pageSetup paperSize="9" scale="5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Denis-PTO</dc:creator>
  <cp:lastModifiedBy>Denis-PTO</cp:lastModifiedBy>
  <cp:lastPrinted>2026-02-20T12:10:17Z</cp:lastPrinted>
  <dcterms:created xsi:type="dcterms:W3CDTF">2026-02-18T15:15:42Z</dcterms:created>
  <dcterms:modified xsi:type="dcterms:W3CDTF">2026-02-20T12:10:19Z</dcterms:modified>
</cp:coreProperties>
</file>