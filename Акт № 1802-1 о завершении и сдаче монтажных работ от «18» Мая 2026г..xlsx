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02 уплотнение вакуум камер\"/>
    </mc:Choice>
  </mc:AlternateContent>
  <xr:revisionPtr revIDLastSave="0" documentId="8_{C46E3736-9476-4982-B39F-A51DBC6D74C6}" xr6:coauthVersionLast="47" xr6:coauthVersionMax="47" xr10:uidLastSave="{00000000-0000-0000-0000-000000000000}"/>
  <bookViews>
    <workbookView xWindow="-28920" yWindow="-120" windowWidth="29040" windowHeight="15720" xr2:uid="{F5D1316C-B76D-4D22-8E98-F1934E5405C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</calcChain>
</file>

<file path=xl/sharedStrings.xml><?xml version="1.0" encoding="utf-8"?>
<sst xmlns="http://schemas.openxmlformats.org/spreadsheetml/2006/main" count="83" uniqueCount="73">
  <si>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</si>
  <si>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</si>
  <si>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</si>
  <si>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</si>
  <si>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</si>
  <si>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</si>
  <si>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</si>
  <si>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</si>
  <si>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</si>
  <si>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</si>
  <si>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</si>
  <si>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</si>
  <si>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</si>
  <si>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Vacuum sealing protection / Уплотнение вакуум-камеры №1;№2;№3.</t>
  </si>
  <si>
    <t>«18» Мая 2026г.</t>
  </si>
  <si>
    <t>(наименование технологического узла)</t>
  </si>
  <si>
    <t>Акт № 1802/1 о завершении и сдаче монтажных работ</t>
  </si>
  <si>
    <t>ACT № 1802/1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</si>
  <si>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</si>
  <si>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</si>
  <si>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</si>
  <si>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</si>
  <si>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ПРОСТОЙ ШТИФТ БЕЗ ОТВЕРСТИЯ ДЛЯ СМАЗКИ D = 30 H9; L = 80 C40 EN 10083 НОРМАЛИЗОВАН; Код детали: 0.008811.G; Кол-во: 6шт; Вес общий: 0,000191; Упак.№ 172504.</t>
  </si>
  <si>
    <t xml:space="preserve">
Рабочие чертежи фирмы Danieli
DPC13Y141802
8.860653.R
Рабочие чертежи  
АО «Магнитогорский гипромез»
М80080.04.03-ТХ1
Электросталеплавильный цех (ЭСПЦ).
Участок внепечной обработки стали.
Вакууматор;</t>
  </si>
  <si>
    <t>Работы выполнены в соответствии с проектом/ 
Works performed in accordance with the project</t>
  </si>
  <si>
    <t>ПРОСВЕРЛЕННЫЙ ШТИФТ Для ШПЛИНТОВ D=20 L=120 C40 НОРМА. ; Код детали: 0.011984.H; Кол-во: 12шт; Вес общий: 0,000382; Упак.№ 172504.</t>
  </si>
  <si>
    <t>ПНЕВМАТИЧЕСКИЙ ЦИЛИНДР ; Код детали: 0.121941.Z; Кол-во: 1шт; Вес общий: 0,01; Упак.№ 172504.</t>
  </si>
  <si>
    <t>ПОДДЕРЖКА ; Код детали: 4.779448.V; Кол-во: 12шт; Вес общий: 0,0084; Упак.№ 172504.</t>
  </si>
  <si>
    <t>КОНЦЕВОЙ ВЫКЛЮЧАТЕЛЬ FTSB-1 КЛАССА 9007 кабельного ввода 1/2 NPT; Код детали: 0.153802.E; Кол-во: 12шт; Вес общий: 0,000382; Упак.№ 172504.</t>
  </si>
  <si>
    <t>ВИНТ С ШЕСТИГРАННОЙ ГОЛОВКОЙ ISO 4017 M8X16-8.8-ОБРАБОТАН В СООТВЕТСТВИИ С STD DAN 3.210.001; Код детали: 0.000263.X; Кол-во: 12шт; Вес общий: 0,000382; Упак.№ 172504.</t>
  </si>
  <si>
    <t>ВИНТ С ШЕСТИГРАННОЙ ГОЛОВКОЙ ISO 4017 M8X40-8.8-ОБРАБОТАН В СООТВЕТСТВИИ С STD DAN 3.210.001; Код детали: 0.000268.C; Кол-во: 48шт; Вес общий: 0,001529; Упак.№ 172504.</t>
  </si>
  <si>
    <t>ВИНТ С ШЕСТИГРАННОЙ ГОЛОВКОЙ ISO 4017 M10X40-8.8-ОБРАБОТАН В СООТВЕТСТВИИ С STD DAN 3.210.001; Код детали: 0.000276.V; Кол-во: 24шт; Вес общий: 0,000765; Упак.№ 172504.</t>
  </si>
  <si>
    <t>ВИНТ С ШЕСТИГРАННОЙ ГОЛОВКОЙ ISO 4017 M12X35-8.8-ОБРАБОТАН В СООТВЕТСТВИИ С STD DAN 3.210.001; Код детали: 0.000283.L; Кол-во: 48шт; Вес общий: 0,001529; Упак.№ 172504.</t>
  </si>
  <si>
    <t>ВИНТ С ШЕСТИГРАННОЙ ГОЛОВКОЙ ISO 4017 M12X70-8.8-ОБРАБОТАН В СООТВЕТСТВИИ С STD DAN 3.210.001; Код детали: 0.000288.Z; Кол-во: 48шт; Вес общий: 0,001529; Упак.№ 172504.</t>
  </si>
  <si>
    <t>ОБЫЧНАЯ ГАЙКА С ШЕСТИГРАННОЙ ГОЛОВКОЙ ISO 4032 M8-8-ОБРАБОТАНА В СООТВЕТСТВИИ С STD DAN 3.220.001; Код детали: 0.001074.B; Кол-во: 48шт; Вес общий: 0,001529; Упак.№ 172504.</t>
  </si>
  <si>
    <t>ПРЕДОХРАНИТЕЛЬНАЯ ШАЙБА SCHNORR MILLER ТИПА "S" -6-ПРУЖИННАЯ СТАЛЬ- ОТ 370HV до 580HV-ФОСФАТИРОВАННАЯ; Код детали: 0.001312.D; Кол-во: 48шт; Вес общий: 0,001529; Упак.№ 172504.</t>
  </si>
  <si>
    <t>ОБЫЧНАЯ ГАЙКА С ШЕСТИГРАННОЙ ГОЛОВКОЙ ISO 4032 M12-8-ОБРАБОТАНА В СООТВЕТСТВИИ С STD DAN 3.220.001; Код детали: 0.546112.R; Кол-во: 48шт; Вес общий: 0,001529; Упак.№ 172504.</t>
  </si>
  <si>
    <t>ПЛОСКАЯ ШАЙБА ISO 7089 -8-200 HV-СТАЛЬ, ФОСФАТИРОВАННАЯ MNPH ISO 9717; Код детали: 0.529826.X; Кол-во: 96шт; Вес общий: 0,003058; Упак.№ 172504.</t>
  </si>
  <si>
    <t>ПЛОСКАЯ ШАЙБА ISO 7089 -12-300 HV-СТАЛЬ, ФОСФАТИРОВАННАЯ MNPH ISO 9717; Код детали: 0.537989.R; Кол-во: 144шт; Вес общий: 0,004588; Упак.№ 172504.</t>
  </si>
  <si>
    <t>РАЗЪЕМНЫЙ ШТИФТ ISO 1234 5x32-СТАЛЬ С ЦИНКОВЫМ ПОКРЫТИЕМ В СООТВЕТСТВИИ С STD DAN 5.200.004; Код детали: 0.001496.X; Кол-во: 24шт; Вес общий: 0,000765; Упак.№ 172504.</t>
  </si>
  <si>
    <t>ПЛАСТИНА ДЛЯ УСТАНОВКИ ШТИФТА ТИПА 1 60 X 20 X 5 S 275 JR EN 10025; Код детали: 0.005081.W; Кол-во: 6шт; Вес общий: 0,000191; Упак.№ 172504.</t>
  </si>
  <si>
    <t>ПЛАСТИНА ДЛЯ КОНЦЕВОГО ВЫКЛЮЧАТЕЛЯ 100 X 120 X 10 S 275 JR EN 10025 ; Код детали: 0.014629.F; Кол-во: 6шт; Вес общий: 0,000191; Упак.№ 172504.</t>
  </si>
  <si>
    <t>ВИНТ С ЗАГЛУШКОЙ С ШЕСТИГРАННОЙ ТОРЦЕВОЙ ГОЛОВКОЙ ISO 4762 M6X12-8.8-ОБРАБОТАН В СООТВЕТСТВИИ С STD DAN 3.210.001; Код детали: 0.050311.Q; Кол-во: 48шт; Вес общий: 0,001529; Упак.№ 172504.</t>
  </si>
  <si>
    <t>КАНАЛ DIN 1026-1/EN 10279 U 80 S275JR + AR EN 10025-2 В СООТВЕТСТВИИ С STD DAN 6.300.004; Код детали: 0.311222.D; Кол-во: 24шт; Вес общий: 0,1896; Упак.№ 174636.</t>
  </si>
  <si>
    <t>ПЛОСКАЯ ШАЙБА ISO 7089 -8-300 HV-СТАЛЬ, ФОСФАТИРОВАННАЯ MNPH ISO 9717; Код детали: 0.537987.K; Кол-во: 12шт; Вес общий: 0,000168; Упак.№ 174636.</t>
  </si>
  <si>
    <t>ПЛОСКАЯ ШАЙБА ISO 7089 -10-300 HV-СТАЛЬ, ФОСФАТИРОВАННАЯ MNPH ISO 9717; Код детали: 0.537988.T; Кол-во: 24шт; Вес общий: 0,00024; Упак.№ 174636.</t>
  </si>
  <si>
    <t>ЩИТ ; Код детали: 5.738364.H; Кол-во: 6шт; Вес общий: 0,58; Упак.№ 174933.</t>
  </si>
  <si>
    <t>РАМКА ; Код детали: 7.585135.F; Кол-во: 6шт; Вес общий: 0,22; Упак.№ 174943.</t>
  </si>
  <si>
    <t>СОЕДИНЕНИЕ; Код детали: 4.290265.Q; Кол-во: 12шт; Вес общий: 0,12; Упак.№ 174944.</t>
  </si>
  <si>
    <t>ОПОРА ; Код детали: 5.115621.K; Кол-во: 6шт; Вес общий: 0,15; Упак.№ 174944.</t>
  </si>
  <si>
    <t>ОПОРА ; Код детали: 4.779448.V; Кол-во: 12шт; Вес общий: 0,01; Упак.№ 174944.</t>
  </si>
  <si>
    <t>ОПОРА КОНЦЕВОГО ВЫКЛЮЧАТЕЛЯ ; Код детали: 5.986941.N; Кол-во: 12шт; Вес общий: 0,015; Упак.№ 174984.</t>
  </si>
  <si>
    <t xml:space="preserve">Приложение: Исполнительная схема №128А;129А планово-высотное положение трайб аппаратов в осях В-Г/24-26; </t>
  </si>
  <si>
    <t>Вес 95% от объема:1,375тн.= 1,306тн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</si>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</sst>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522B9F95-E992-4E0F-93EF-5DF3AC9C194E}"/>
    <cellStyle name="Обычный_Пример акта" xfId="1" xr:uid="{037EAFD0-D684-42F3-9927-2C3FABAE5F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99D7-612D-4BB0-8F14-3B4402FEB74A}">
  <dimension ref="A1:N59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2" t="s">
        <v>13</v>
      </c>
      <c r="C10" s="19"/>
      <c r="D10" s="24" t="s">
        <v>14</v>
      </c>
      <c r="E10" s="25"/>
      <c r="F10" s="25"/>
    </row>
    <row r="11" spans="1:6" ht="14.1" customHeight="1" x14ac:dyDescent="0.25">
      <c r="A11" s="19"/>
      <c r="B11" s="26" t="s">
        <v>15</v>
      </c>
      <c r="D11" s="19"/>
      <c r="E11" s="19"/>
      <c r="F11" s="14"/>
    </row>
    <row r="12" spans="1:6" ht="14.1" hidden="1" customHeight="1" x14ac:dyDescent="0.25">
      <c r="A12" s="19"/>
      <c r="B12" s="26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6"/>
      <c r="C13" s="19"/>
      <c r="D13" s="19"/>
      <c r="E13" s="19"/>
      <c r="F13" s="14"/>
    </row>
    <row r="14" spans="1:6" ht="14.1" customHeight="1" x14ac:dyDescent="0.25">
      <c r="A14" s="3"/>
      <c r="B14" s="3"/>
      <c r="C14" s="27"/>
      <c r="D14" s="27"/>
      <c r="E14" s="27"/>
      <c r="F14" s="27"/>
    </row>
    <row r="15" spans="1:6" ht="21.6" customHeight="1" x14ac:dyDescent="0.25">
      <c r="A15" s="28" t="s">
        <v>16</v>
      </c>
      <c r="B15" s="28"/>
      <c r="C15" s="28"/>
      <c r="D15" s="28"/>
      <c r="E15" s="28"/>
      <c r="F15" s="28"/>
    </row>
    <row r="16" spans="1:6" ht="21.6" customHeight="1" x14ac:dyDescent="0.25">
      <c r="A16" s="28" t="s">
        <v>17</v>
      </c>
      <c r="B16" s="29"/>
      <c r="C16" s="29"/>
      <c r="D16" s="29"/>
      <c r="E16" s="29"/>
      <c r="F16" s="29"/>
    </row>
    <row r="17" spans="1:6" ht="126.6" customHeight="1" x14ac:dyDescent="0.25">
      <c r="A17" s="30" t="s">
        <v>18</v>
      </c>
      <c r="B17" s="31" t="s">
        <v>19</v>
      </c>
      <c r="C17" s="32" t="s">
        <v>20</v>
      </c>
      <c r="D17" s="33" t="s">
        <v>21</v>
      </c>
      <c r="E17" s="34"/>
      <c r="F17" s="35"/>
    </row>
    <row r="18" spans="1:6" ht="45" customHeight="1" x14ac:dyDescent="0.25">
      <c r="A18" s="30">
        <v>1</v>
      </c>
      <c r="B18" s="36" t="s">
        <v>22</v>
      </c>
      <c r="C18" s="37" t="s">
        <v>23</v>
      </c>
      <c r="D18" s="38" t="s">
        <v>24</v>
      </c>
      <c r="E18" s="39"/>
      <c r="F18" s="40"/>
    </row>
    <row r="19" spans="1:6" ht="45" customHeight="1" x14ac:dyDescent="0.25">
      <c r="A19" s="30">
        <v>2</v>
      </c>
      <c r="B19" s="36" t="s">
        <v>25</v>
      </c>
      <c r="C19" s="41"/>
      <c r="D19" s="42"/>
      <c r="E19" s="43"/>
      <c r="F19" s="44"/>
    </row>
    <row r="20" spans="1:6" ht="45" customHeight="1" x14ac:dyDescent="0.25">
      <c r="A20" s="30">
        <v>3</v>
      </c>
      <c r="B20" s="36" t="s">
        <v>26</v>
      </c>
      <c r="C20" s="41"/>
      <c r="D20" s="42"/>
      <c r="E20" s="43"/>
      <c r="F20" s="44"/>
    </row>
    <row r="21" spans="1:6" ht="45" customHeight="1" x14ac:dyDescent="0.25">
      <c r="A21" s="30">
        <v>4</v>
      </c>
      <c r="B21" s="36" t="s">
        <v>26</v>
      </c>
      <c r="C21" s="41"/>
      <c r="D21" s="42"/>
      <c r="E21" s="43"/>
      <c r="F21" s="44"/>
    </row>
    <row r="22" spans="1:6" ht="45" customHeight="1" x14ac:dyDescent="0.25">
      <c r="A22" s="30">
        <v>5</v>
      </c>
      <c r="B22" s="36" t="s">
        <v>26</v>
      </c>
      <c r="C22" s="41"/>
      <c r="D22" s="45"/>
      <c r="E22" s="46"/>
      <c r="F22" s="46"/>
    </row>
    <row r="23" spans="1:6" ht="45" customHeight="1" x14ac:dyDescent="0.25">
      <c r="A23" s="30">
        <v>6</v>
      </c>
      <c r="B23" s="36" t="s">
        <v>26</v>
      </c>
      <c r="C23" s="47"/>
      <c r="D23" s="45"/>
      <c r="E23" s="46"/>
      <c r="F23" s="46"/>
    </row>
    <row r="24" spans="1:6" ht="45" customHeight="1" x14ac:dyDescent="0.25">
      <c r="A24" s="30">
        <v>7</v>
      </c>
      <c r="B24" s="36" t="s">
        <v>26</v>
      </c>
      <c r="C24" s="47"/>
      <c r="D24" s="45"/>
      <c r="E24" s="46"/>
      <c r="F24" s="46"/>
    </row>
    <row r="25" spans="1:6" ht="45" customHeight="1" x14ac:dyDescent="0.25">
      <c r="A25" s="30">
        <v>8</v>
      </c>
      <c r="B25" s="36" t="s">
        <v>26</v>
      </c>
      <c r="C25" s="47"/>
      <c r="D25" s="45"/>
      <c r="E25" s="46"/>
      <c r="F25" s="46"/>
    </row>
    <row r="26" spans="1:6" ht="45" customHeight="1" x14ac:dyDescent="0.25">
      <c r="A26" s="30">
        <v>9</v>
      </c>
      <c r="B26" s="36" t="s">
        <v>27</v>
      </c>
      <c r="C26" s="47"/>
      <c r="D26" s="45"/>
      <c r="E26" s="46"/>
      <c r="F26" s="46"/>
    </row>
    <row r="27" spans="1:6" ht="45" customHeight="1" x14ac:dyDescent="0.25">
      <c r="A27" s="30">
        <v>10</v>
      </c>
      <c r="B27" s="36" t="s">
        <v>28</v>
      </c>
      <c r="C27" s="47"/>
      <c r="D27" s="45"/>
      <c r="E27" s="46"/>
      <c r="F27" s="46"/>
    </row>
    <row r="28" spans="1:6" ht="45" customHeight="1" x14ac:dyDescent="0.25">
      <c r="A28" s="30">
        <v>11</v>
      </c>
      <c r="B28" s="36" t="s">
        <v>29</v>
      </c>
      <c r="C28" s="47"/>
      <c r="D28" s="45"/>
      <c r="E28" s="46"/>
      <c r="F28" s="46"/>
    </row>
    <row r="29" spans="1:6" ht="45" customHeight="1" x14ac:dyDescent="0.25">
      <c r="A29" s="30">
        <v>12</v>
      </c>
      <c r="B29" s="36" t="s">
        <v>30</v>
      </c>
      <c r="C29" s="47"/>
      <c r="D29" s="45"/>
      <c r="E29" s="46"/>
      <c r="F29" s="46"/>
    </row>
    <row r="30" spans="1:6" ht="45" customHeight="1" x14ac:dyDescent="0.25">
      <c r="A30" s="30">
        <v>13</v>
      </c>
      <c r="B30" s="36" t="s">
        <v>31</v>
      </c>
      <c r="C30" s="47"/>
      <c r="D30" s="45"/>
      <c r="E30" s="46"/>
      <c r="F30" s="46"/>
    </row>
    <row r="31" spans="1:6" ht="45" customHeight="1" x14ac:dyDescent="0.25">
      <c r="A31" s="30">
        <v>14</v>
      </c>
      <c r="B31" s="36" t="s">
        <v>32</v>
      </c>
      <c r="C31" s="47"/>
      <c r="D31" s="45"/>
      <c r="E31" s="46"/>
      <c r="F31" s="46"/>
    </row>
    <row r="32" spans="1:6" ht="45" customHeight="1" x14ac:dyDescent="0.25">
      <c r="A32" s="30">
        <v>15</v>
      </c>
      <c r="B32" s="36" t="s">
        <v>33</v>
      </c>
      <c r="C32" s="47"/>
      <c r="D32" s="45"/>
      <c r="E32" s="46"/>
      <c r="F32" s="46"/>
    </row>
    <row r="33" spans="1:6" ht="45" customHeight="1" x14ac:dyDescent="0.25">
      <c r="A33" s="30">
        <v>16</v>
      </c>
      <c r="B33" s="36" t="s">
        <v>34</v>
      </c>
      <c r="C33" s="47"/>
      <c r="D33" s="45"/>
      <c r="E33" s="46"/>
      <c r="F33" s="46"/>
    </row>
    <row r="34" spans="1:6" ht="58.8" customHeight="1" x14ac:dyDescent="0.25">
      <c r="A34" s="30">
        <v>17</v>
      </c>
      <c r="B34" s="36" t="s">
        <v>35</v>
      </c>
      <c r="C34" s="47"/>
      <c r="D34" s="45"/>
      <c r="E34" s="46"/>
      <c r="F34" s="46"/>
    </row>
    <row r="35" spans="1:6" ht="45" customHeight="1" x14ac:dyDescent="0.25">
      <c r="A35" s="30">
        <v>18</v>
      </c>
      <c r="B35" s="36" t="s">
        <v>36</v>
      </c>
      <c r="C35" s="47"/>
      <c r="D35" s="45"/>
      <c r="E35" s="46"/>
      <c r="F35" s="46"/>
    </row>
    <row r="36" spans="1:6" ht="45" customHeight="1" x14ac:dyDescent="0.25">
      <c r="A36" s="30">
        <v>19</v>
      </c>
      <c r="B36" s="36" t="s">
        <v>37</v>
      </c>
      <c r="C36" s="47"/>
      <c r="D36" s="45"/>
      <c r="E36" s="46"/>
      <c r="F36" s="46"/>
    </row>
    <row r="37" spans="1:6" ht="45" customHeight="1" x14ac:dyDescent="0.25">
      <c r="A37" s="30">
        <v>20</v>
      </c>
      <c r="B37" s="36" t="s">
        <v>38</v>
      </c>
      <c r="C37" s="47"/>
      <c r="D37" s="45"/>
      <c r="E37" s="46"/>
      <c r="F37" s="46"/>
    </row>
    <row r="38" spans="1:6" ht="45" customHeight="1" x14ac:dyDescent="0.25">
      <c r="A38" s="30">
        <v>21</v>
      </c>
      <c r="B38" s="36" t="s">
        <v>39</v>
      </c>
      <c r="C38" s="47"/>
      <c r="D38" s="45"/>
      <c r="E38" s="46"/>
      <c r="F38" s="46"/>
    </row>
    <row r="39" spans="1:6" ht="45" customHeight="1" x14ac:dyDescent="0.25">
      <c r="A39" s="30">
        <v>22</v>
      </c>
      <c r="B39" s="36" t="s">
        <v>40</v>
      </c>
      <c r="C39" s="47"/>
      <c r="D39" s="45"/>
      <c r="E39" s="46"/>
      <c r="F39" s="46"/>
    </row>
    <row r="40" spans="1:6" ht="45" customHeight="1" x14ac:dyDescent="0.25">
      <c r="A40" s="30">
        <v>23</v>
      </c>
      <c r="B40" s="36" t="s">
        <v>41</v>
      </c>
      <c r="C40" s="47"/>
      <c r="D40" s="45"/>
      <c r="E40" s="46"/>
      <c r="F40" s="46"/>
    </row>
    <row r="41" spans="1:6" ht="60" customHeight="1" x14ac:dyDescent="0.25">
      <c r="A41" s="30">
        <v>24</v>
      </c>
      <c r="B41" s="36" t="s">
        <v>42</v>
      </c>
      <c r="C41" s="47"/>
      <c r="D41" s="45"/>
      <c r="E41" s="46"/>
      <c r="F41" s="46"/>
    </row>
    <row r="42" spans="1:6" ht="45" customHeight="1" x14ac:dyDescent="0.25">
      <c r="A42" s="30">
        <v>25</v>
      </c>
      <c r="B42" s="36" t="s">
        <v>43</v>
      </c>
      <c r="C42" s="47"/>
      <c r="D42" s="45"/>
      <c r="E42" s="46"/>
      <c r="F42" s="46"/>
    </row>
    <row r="43" spans="1:6" ht="45" customHeight="1" x14ac:dyDescent="0.25">
      <c r="A43" s="30">
        <v>26</v>
      </c>
      <c r="B43" s="36" t="s">
        <v>44</v>
      </c>
      <c r="C43" s="47"/>
      <c r="D43" s="45"/>
      <c r="E43" s="46"/>
      <c r="F43" s="46"/>
    </row>
    <row r="44" spans="1:6" ht="45" customHeight="1" x14ac:dyDescent="0.25">
      <c r="A44" s="30">
        <v>27</v>
      </c>
      <c r="B44" s="36" t="s">
        <v>45</v>
      </c>
      <c r="C44" s="47"/>
      <c r="D44" s="45"/>
      <c r="E44" s="46"/>
      <c r="F44" s="46"/>
    </row>
    <row r="45" spans="1:6" ht="45" customHeight="1" x14ac:dyDescent="0.25">
      <c r="A45" s="30">
        <v>28</v>
      </c>
      <c r="B45" s="36" t="s">
        <v>46</v>
      </c>
      <c r="C45" s="47"/>
      <c r="D45" s="45"/>
      <c r="E45" s="46"/>
      <c r="F45" s="46"/>
    </row>
    <row r="46" spans="1:6" ht="45" customHeight="1" x14ac:dyDescent="0.25">
      <c r="A46" s="30">
        <v>29</v>
      </c>
      <c r="B46" s="36" t="s">
        <v>47</v>
      </c>
      <c r="C46" s="47"/>
      <c r="D46" s="45"/>
      <c r="E46" s="46"/>
      <c r="F46" s="46"/>
    </row>
    <row r="47" spans="1:6" ht="45" customHeight="1" x14ac:dyDescent="0.25">
      <c r="A47" s="30">
        <v>30</v>
      </c>
      <c r="B47" s="36" t="s">
        <v>48</v>
      </c>
      <c r="C47" s="47"/>
      <c r="D47" s="45"/>
      <c r="E47" s="46"/>
      <c r="F47" s="46"/>
    </row>
    <row r="48" spans="1:6" ht="45" customHeight="1" x14ac:dyDescent="0.25">
      <c r="A48" s="30">
        <v>31</v>
      </c>
      <c r="B48" s="36" t="s">
        <v>49</v>
      </c>
      <c r="C48" s="47"/>
      <c r="D48" s="45"/>
      <c r="E48" s="46"/>
      <c r="F48" s="46"/>
    </row>
    <row r="49" spans="1:14" ht="45" customHeight="1" x14ac:dyDescent="0.25">
      <c r="A49" s="30">
        <v>32</v>
      </c>
      <c r="B49" s="36" t="s">
        <v>50</v>
      </c>
      <c r="C49" s="47"/>
      <c r="D49" s="45"/>
      <c r="E49" s="46"/>
      <c r="F49" s="46"/>
    </row>
    <row r="50" spans="1:14" ht="45" customHeight="1" x14ac:dyDescent="0.25">
      <c r="A50" s="30">
        <v>33</v>
      </c>
      <c r="B50" s="36" t="s">
        <v>51</v>
      </c>
      <c r="C50" s="47"/>
      <c r="D50" s="45"/>
      <c r="E50" s="46"/>
      <c r="F50" s="46"/>
    </row>
    <row r="51" spans="1:14" ht="31.8" hidden="1" customHeight="1" x14ac:dyDescent="0.25">
      <c r="A51" s="48" t="s">
        <v>52</v>
      </c>
      <c r="B51" s="48"/>
      <c r="C51" s="48"/>
      <c r="D51" s="48"/>
      <c r="E51" s="48"/>
      <c r="F51" s="48"/>
    </row>
    <row r="52" spans="1:14" ht="31.8" customHeight="1" x14ac:dyDescent="0.25">
      <c r="A52" s="49" t="s">
        <v>53</v>
      </c>
      <c r="B52" s="50"/>
      <c r="C52" s="50"/>
      <c r="D52" s="50"/>
      <c r="E52" s="50"/>
      <c r="F52" s="51"/>
      <c r="G52" s="5">
        <f>1.375*0.95</f>
        <v>1.3062499999999999</v>
      </c>
    </row>
    <row r="53" spans="1:14" ht="34.200000000000003" customHeight="1" x14ac:dyDescent="0.25">
      <c r="A53" s="52" t="s">
        <v>54</v>
      </c>
      <c r="B53" s="53"/>
      <c r="C53" s="33" t="s">
        <v>55</v>
      </c>
      <c r="D53" s="34"/>
      <c r="E53" s="34"/>
      <c r="F53" s="34"/>
    </row>
    <row r="54" spans="1:14" ht="33" customHeight="1" x14ac:dyDescent="0.25">
      <c r="A54" s="54"/>
      <c r="B54" s="55"/>
      <c r="C54" s="32" t="s">
        <v>56</v>
      </c>
      <c r="D54" s="33" t="s">
        <v>57</v>
      </c>
      <c r="E54" s="35"/>
      <c r="F54" s="56" t="s">
        <v>58</v>
      </c>
      <c r="L54" s="57"/>
    </row>
    <row r="55" spans="1:14" ht="42" customHeight="1" x14ac:dyDescent="0.25">
      <c r="A55" s="58" t="s">
        <v>59</v>
      </c>
      <c r="B55" s="58"/>
      <c r="C55" s="59" t="s">
        <v>60</v>
      </c>
      <c r="D55" s="60" t="s">
        <v>61</v>
      </c>
      <c r="E55" s="61"/>
      <c r="F55" s="62"/>
      <c r="L55" s="63"/>
      <c r="N55" s="64"/>
    </row>
    <row r="56" spans="1:14" ht="42" customHeight="1" x14ac:dyDescent="0.25">
      <c r="A56" s="58" t="s">
        <v>4</v>
      </c>
      <c r="B56" s="58"/>
      <c r="C56" s="59" t="s">
        <v>62</v>
      </c>
      <c r="D56" s="60" t="s">
        <v>63</v>
      </c>
      <c r="E56" s="61"/>
      <c r="F56" s="62"/>
      <c r="G56" s="59" t="s">
        <v>64</v>
      </c>
      <c r="H56" s="65" t="s">
        <v>65</v>
      </c>
      <c r="I56" s="59" t="s">
        <v>62</v>
      </c>
      <c r="J56" s="65" t="s">
        <v>63</v>
      </c>
      <c r="K56" s="65"/>
      <c r="L56" s="66"/>
    </row>
    <row r="57" spans="1:14" ht="42" customHeight="1" x14ac:dyDescent="0.25">
      <c r="A57" s="58" t="s">
        <v>4</v>
      </c>
      <c r="B57" s="58"/>
      <c r="C57" s="59" t="s">
        <v>66</v>
      </c>
      <c r="D57" s="60" t="s">
        <v>67</v>
      </c>
      <c r="E57" s="61"/>
      <c r="F57" s="62"/>
    </row>
    <row r="58" spans="1:14" ht="42" customHeight="1" x14ac:dyDescent="0.25">
      <c r="A58" s="58" t="s">
        <v>68</v>
      </c>
      <c r="B58" s="58"/>
      <c r="C58" s="59" t="s">
        <v>69</v>
      </c>
      <c r="D58" s="67" t="s">
        <v>70</v>
      </c>
      <c r="E58" s="68"/>
      <c r="F58" s="62"/>
    </row>
    <row r="59" spans="1:14" ht="42" customHeight="1" x14ac:dyDescent="0.25">
      <c r="A59" s="69" t="s">
        <v>8</v>
      </c>
      <c r="B59" s="69"/>
      <c r="C59" s="59" t="s">
        <v>71</v>
      </c>
      <c r="D59" s="60" t="s">
        <v>72</v>
      </c>
      <c r="E59" s="61"/>
      <c r="F59" s="62"/>
    </row>
  </sheetData>
  <mergeCells count="26">
    <mergeCell ref="A59:B59"/>
    <mergeCell ref="D59:E59"/>
    <mergeCell ref="A56:B56"/>
    <mergeCell ref="D56:E56"/>
    <mergeCell ref="A57:B57"/>
    <mergeCell ref="D57:E57"/>
    <mergeCell ref="A58:B58"/>
    <mergeCell ref="D58:E58"/>
    <mergeCell ref="A52:F52"/>
    <mergeCell ref="A53:B54"/>
    <mergeCell ref="C53:F53"/>
    <mergeCell ref="D54:E54"/>
    <mergeCell ref="A55:B55"/>
    <mergeCell ref="D55:E55"/>
    <mergeCell ref="A15:F15"/>
    <mergeCell ref="A16:F16"/>
    <mergeCell ref="D17:F17"/>
    <mergeCell ref="C18:C22"/>
    <mergeCell ref="D18:F21"/>
    <mergeCell ref="A51:F51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2026-05-18T05:47:12Z</dcterms:created>
  <dcterms:modified xsi:type="dcterms:W3CDTF">2026-05-18T05:47:12Z</dcterms:modified>
</cp:coreProperties>
</file>