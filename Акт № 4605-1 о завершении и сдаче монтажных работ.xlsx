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605 Стенд наклона ковша\"/>
    </mc:Choice>
  </mc:AlternateContent>
  <xr:revisionPtr revIDLastSave="0" documentId="13_ncr:1_{0392E70E-C473-4F92-ADC3-88D0B192EB9B}" xr6:coauthVersionLast="47" xr6:coauthVersionMax="47" xr10:uidLastSave="{00000000-0000-0000-0000-000000000000}"/>
  <bookViews>
    <workbookView xWindow="-28920" yWindow="-120" windowWidth="29040" windowHeight="15720" xr2:uid="{7DA3E4F8-FC26-474E-8AFF-90F165EB88E2}"/>
  </bookViews>
  <sheets>
    <sheet name="Лист1" sheetId="1" r:id="rId1"/>
  </sheets>
  <definedNames>
    <definedName name="_xlnm.Print_Area" localSheetId="0">Лист1!$A$1:$F$85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7" i="1" l="1"/>
</calcChain>
</file>

<file path=xl/sharedStrings.xml><?xml version="1.0" encoding="utf-8"?>
<sst xmlns="http://schemas.openxmlformats.org/spreadsheetml/2006/main" count="111" uniqueCount="101">
  <si>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</si>
  <si>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</si>
  <si>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</si>
  <si>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</si>
  <si>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</si>
  <si>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</si>
  <si>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</si>
  <si>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</si>
  <si>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</si>
  <si>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</si>
  <si>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</si>
  <si>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</si>
  <si>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</si>
  <si>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</si>
  <si>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</si>
  <si>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</si>
  <si>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</si>
  <si>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</si>
  <si>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Работы выполнены в соответствии с проектом/ 
Works performed in accordance with the project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</si>
  <si>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</si>
  <si>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</si>
  <si>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</si>
  <si>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</si>
  <si>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</si>
  <si>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</si>
  <si>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</si>
  <si>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</si>
  <si>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</si>
  <si>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</si>
  <si>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</si>
  <si>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</si>
  <si>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</si>
  <si>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</si>
  <si>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</si>
  <si>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</si>
  <si>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</si>
  <si>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</si>
  <si>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</si>
  <si>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ООО «Меридиан-Строй»</t>
  </si>
  <si>
    <t>Руководитель проекта</t>
  </si>
  <si>
    <t>Киринов А.В.</t>
  </si>
  <si>
    <t>Акт № 4605/1 о завершении и сдаче монтажных работ</t>
  </si>
  <si>
    <t>ACT № 4605/1 on completion and acceptance of installation works</t>
  </si>
  <si>
    <t>Ladle Tilting Stand / Стенд наклона стальковша</t>
  </si>
  <si>
    <t xml:space="preserve">
Рабочие чертежи фирмы Danieli
DPC13Y144605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</si>
  <si>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«02» Сентября 2026г.</t>
  </si>
  <si>
    <t>Качающийся элемент; Jet№ 7.595347.V; Кол-во: 1шт: Вес общий :12,953тн;  Упаковочное место:71203 (30%)</t>
  </si>
  <si>
    <t>Качающийся элемент; Jet№ 7.595343.Z; Кол-во: 1шт: Вес общий :12,649тн;  Упаковочное место:71204 (30%)</t>
  </si>
  <si>
    <t>Опора; Jet№ 7.595345.T; Кол-во: 1шт: Вес общий :0,187тн;  Упаковочное место:71205 (30%)</t>
  </si>
  <si>
    <t>Балка; Jet№ 7.595346.R; Кол-во: 1шт: Вес общий :2,121тн;  Упаковочное место:71205 (30%)</t>
  </si>
  <si>
    <t>Балка; Jet№ 7.595344.S; Кол-во: 1шт: Вес общий :2,355тн;  Упаковочное место:71206 (30%)</t>
  </si>
  <si>
    <t>Основание ; Jet№ 7.595340.A/A01; Кол-во: 1шт: Вес общий :3,873тн;  Упаковочное место:71202 (95%)</t>
  </si>
  <si>
    <t>Основание ; Jet№ 7.595340.A/A02; Кол-во: 1шт: Вес общий :3,873тн;  Упаковочное место:71202 (95%)</t>
  </si>
  <si>
    <t>Гидравлический цилиндр; Jet№ 7.595341.W; Кол-во: 1шт: Вес общий :1,3тн;  Упаковочное место:71207 (95%)</t>
  </si>
  <si>
    <t>Уголок равнополочный L 100х100х10 EN; Jet№ 0.311262.M; Кол-во: 1шт: Вес общий :0,0192тн;  Упаковочное место:71207 (95%)</t>
  </si>
  <si>
    <t>Фланец приварной ISO 6162-1 DN 40-210; Jet№ 0.586075.R; Кол-во: 4шт: Вес общий :0,0771тн;  Упаковочное место:71207 (95%)</t>
  </si>
  <si>
    <t>Переходник под сварку враструб ASME B16.11 3000ФНТ.; Jet№ 0.092575.S; Кол-во: 4шт: Вес общий :0,0771тн;  Упаковочное место:71207 (95%)</t>
  </si>
  <si>
    <t>Труба Бесшов. SS1860 ASME B36.10/B16.25; Jet№ 0.317044.D; Кол-во: 14шт: Вес общий :0,270тн;  Упаковочное место:71207 (95%)</t>
  </si>
  <si>
    <t>Фланец приварной ISO 6162-1 DN 25-320 ; Jet№ 0.586072.Z; Кол-во: 4шт: Вес общий :0,0771тн;  Упаковочное место:71207 (95%)</t>
  </si>
  <si>
    <t>Шланг; Jet№ 0.909903.K/A06; Кол-во: 2шт: Вес общий :0,0385тн;  Упаковочное место:71207 (95%)</t>
  </si>
  <si>
    <t>U-ОБРАЗНЫЙ БОЛТ DN25 SP600-A M8-EN ISO 898-1 CL.4.8 В КОМПЛЕКТЕ С 2 ГАЙКАМИ / ШАЙБАМИ, ПОКРЫТЫМИ ЦИНКОМ ISO 4042-Fe/Zn8; Jet№ 0.007092.R; Кол-во: 4шт: Вес общий :0,0771тн;  Упаковочное место:71207 (95%)</t>
  </si>
  <si>
    <t>П-образная скоба Д250 SP600 M20 -E ISO 898-1 CL.4.8 в компл. С 4мя гайками/шайбами.; Jet№ 0.160097.B; Кол-во: 4шт: Вес общий :0,0771тн;  Упаковочное место:71207 (95%)</t>
  </si>
  <si>
    <t>Шланг ND6(1/4); Jet№ 0.910370.R/A10; Кол-во: 4шт: Вес общий :0,0771тн;  Упаковочное место:71207 (95%)</t>
  </si>
  <si>
    <t>Концевой Ниппель для гибкого шланга 1/4 ISO 7/1 -288/1 CH.30; Jet№ 0.007069.L; Кол-во: 8шт: Вес общий :0,154тн;  Упаковочное место:71207 (95%)</t>
  </si>
  <si>
    <t>Шланг 0.224169.H/A08; Jet№ 0.224169.H/A08; Кол-во: 2шт: Вес общий :0,0385тн;  Упаковочное место:71207 (95%)</t>
  </si>
  <si>
    <t>Шланг 0.224150.K/A08; Jet№ 0.224150.K/A08; Кол-во: 2шт: Вес общий :0,0385тн;  Упаковочное место:71207 (95%)</t>
  </si>
  <si>
    <t>Опорная пластина; Jet№ 4.556468.B; Кол-во: 2шт: Вес общий :0,0385тн;  Упаковочное место:71207 (95%)</t>
  </si>
  <si>
    <t>Винт с шестигранной головкой и внутренним шестигранником ISO 4762 M10X20-8.8-AS, обработанный в соответствии со стандартом DAN 3.210.001; Jet№ 0.000420.H; Кол-во: 4шт: Вес общий :0,0062тн;  Упаковочное место:71209 (95%)</t>
  </si>
  <si>
    <t>Винт с шестигранной головкой и внутренним шестигранником ISO 4762 M4X20-8.8-AS, обработанный в соответствии со стандартом DAN 3.210.001; Jet№ 0.050301.X; Кол-во: 2шт: Вес общий :0,00311тн;  Упаковочное место:71209 (95%)</t>
  </si>
  <si>
    <t>Винт с шестигранной головкой и внутренним шестигранником ISO 4762 M4X16-8.8-AS, обработанный в соответствии со стандартом DAN 3.210.001; Jet№ 0.050300.B; Кол-во: 2шт: Вес общий :0,00311тн;  Упаковочное место:71209 (95%)</t>
  </si>
  <si>
    <t>Скошенная плоская шайба ISO 7090 -10-200 HV-сталь - фосфатированная MNPH ISO 9717; Jet№ 0.538036.R; Кол-во: 4шт: Вес общий :0,00622тн;  Упаковочное место:71209 (95%)</t>
  </si>
  <si>
    <t>Бесконтактный блокировочный выключатель SENSAGUARD, код 440N-Z21U26H "ALLEN-BRADLEY"; Jet№ 0.657780.V; Кол-во: 1шт: Вес общий :0,0015тн;  Упаковочное место:71209 (95%)</t>
  </si>
  <si>
    <t>КОМПЛЕКТ СЕТЕЙ С РАЗЪЕМОМ И 10-МТ СВЕТЯЩИМИСЯ КАНАЛАМИ КОД 889D-F8AB-10 "ALLEN-BRADLEY"; Jet№ 0.657781.H; Кол-во: 1шт: Вес общий :0,00155тн;  Упаковочное место:71209 (95%)</t>
  </si>
  <si>
    <t>РАСПРЕДЕЛИТЕЛЬНАЯ КОРОБКА **ASSIEME DISTINTA** РАСПРЕДЕЛИТЕЛЬНАЯ КОРОБКА - СБОРКА -; Jet№ 8.168605.T; Кол-во: 1шт: Вес общий :0,00155тн;  Упаковочное место:71209 (95%)</t>
  </si>
  <si>
    <t>ПЛАСТИНА; Jet№ 7.314097.L/007; Кол-во: 1шт: Вес общий :0,00155тн;  Упаковочное место:71209 (95%)</t>
  </si>
  <si>
    <t>ОПОРА; Jet№ 7.545569.G; Кол-во: 1шт: Вес общий :0,00155тн;  Упаковочное место:71209 (95%)</t>
  </si>
  <si>
    <t>ШЕСТИГРАННЫЙ ТОНКАЯ ГАЙКА M18X1; Jet№ 7.545602.A; Кол-во: 2шт: Вес общий :0,00311тн;  Упаковочное место:71209 (95%)</t>
  </si>
  <si>
    <t>ГИБКИЙ КОНЦЕВОЙ НИППЕЛЬ 1/2" ISO7/1 - 228/1 CH.30° C СТАЛЬ С ЦИНКОВЫМ ПОКРЫТИЕМ EN 10204/2.2; Jet№ 0.007071.E; Кол-во: 8шт: Вес общий :0,0124тн;  Упаковочное место:71209 (95%)</t>
  </si>
  <si>
    <t>МИГАТЕЛЬНЫЙ СВЕТИЛЬНИК 40 Вт P B1-L.R.E 27 220 В 50 Гц; Jet№ 0.153977.E; Кол-во: 2шт: Вес общий :0,00311тн;  Упаковочное место:71209 (95%)</t>
  </si>
  <si>
    <t>ЭЛЕКТРОННАЯ СИРЕНА 220 В 50 Гц SEAT 241 M; Jet№ 0.153978.N; Кол-во: 1шт: Вес общий :0,00155тн;  Упаковочное место:71209 (95%)</t>
  </si>
  <si>
    <t>РАСПРЕДЕЛИТЕЛЬНАЯ КОРОБКА - СБОРКА -; Jet№ 8.126385.V; Кол-во: 1шт: Вес общий :0,00155тн;  Упаковочное место:71209 (95%)</t>
  </si>
  <si>
    <t>ОПОРА; Jet№ 4.875702.E; Кол-во: 1шт: Вес общий :0,0015тн;  Упаковочное место:71209 (95%)</t>
  </si>
  <si>
    <t>ОПОРА; Jet№ 4.875701.D; Кол-во: 1шт: Вес общий :0,0015тн;  Упаковочное место:71209 (95%)</t>
  </si>
  <si>
    <t>Фланцет для сварки встык ISO 6162-1 DN 20-350, углеродистая сталь, в соответствии со стандартом DAN 2.131.302; Jet№ 0.540310.R; Кол-во: 4шт: Вес общий :0,0062тн;  Упаковочное место:71209 (95%)</t>
  </si>
  <si>
    <t>Фланцет для сварки встык ISO 6162-1 DN 20-350, углеродистая сталь, в соответствии со стандартом DAN 2.131.302; Jet№ 0.586071.X; Кол-во: 4шт: Вес общий :0,0062тн;  Упаковочное место:71209 (95%)</t>
  </si>
  <si>
    <t>Приварная пластина для трубного хомута d=3/4"-DIN3015-2 For.A-Gr.2, алюминий, с винтами и крышками сверху/снизу.; Jet№ 0.077004.A; Кол-во: 8шт: Вес общий :0,0124тн;  Упаковочное место:71209 (95%)</t>
  </si>
  <si>
    <t>Шпилька DIN 976/1 M10-A-4.8-AS, обработанная в соответствии со стандартом DAN 3.130.003; Jet№ 0.050215.Q; Кол-во: 2шт: Вес общий :0,0031тн;  Упаковочное место:71209 (95%)</t>
  </si>
  <si>
    <t>Плоская шайба ISO 7089-10-200, высокопрочная сталь Гальваническое цинковое покрытие Fe/Zn5D2D ISO 4042; Jet№ 0.538004.C; Кол-во: 8шт: Вес общий :0,0124тн;  Упаковочное место:71209 (95%)</t>
  </si>
  <si>
    <t>Шестигранная стандартная гайка ISO 4032 M10-8-AS, обработанная в соответствии со стандартом DAN 3.220.001; Jet№ 0.546103.C; Кол-во: 16шт: Вес общий :0,0248тн;  Упаковочное место:71209 (95%)</t>
  </si>
  <si>
    <t>Гибкий ниппель 3/4" ISO7/1 - 228/1 CH.30°C, сталь, цинковое покрытие. EN 10204/2.2; Jet№ 0.007072.F; Кол-во: 20шт: Вес общий :0,0311тн;  Упаковочное место:71209 (95%)</t>
  </si>
  <si>
    <t>Параллельный штифт ISO 8734-16x40, сталь типа A-550÷650 HV30 в соответствии со стандартом DAN 5.200.002; Jet№ 0.002540.P; Кол-во: 12шт: Вес общий :0,0186тн;  Упаковочное место:71209 (95%)</t>
  </si>
  <si>
    <t>Винт с шестигранной головкой ISO 4017 M24x80-8.8-AS, обработанный в соответствии со стандартом DAN 3.210.001; Jet№ 0.000313.H; Кол-во: 72шт: Вес общий :0,112тн;  Упаковочное место:71209 (95%)</t>
  </si>
  <si>
    <t>Шестигранная стандартная гайка ISO 4032 M24-8-AS, обработанная в соответствии со стандартом DAN 3.220.001; Jet№ 0.001079.P; Кол-во: 81шт: Вес общий :0,126тн;  Упаковочное место:71209 (95%)</t>
  </si>
  <si>
    <t>Пружинная стопорная шайба UNI 1751 -B24-44 HRC a 49 HRC - сталь - фосфатированная MNPH ISO 9717; Jet№ 0.001299.Q; Кол-во: 92шт: Вес общий :0,143тн;  Упаковочное место:71209 (95%)</t>
  </si>
  <si>
    <t>Винт с шестигранной головкой ISO 4017 M24X70-8.8-AS, обработанный в соответствии со стандартом DAN 3.210.001; Jet№ 0.000312.Q; Кол-во: 20шт: Вес общий :0,0311тн;  Упаковочное место:71209 (95%)</t>
  </si>
  <si>
    <t>Плоская шайба ISO 7089 -24-200 HV-сталь-фосфатированная MNPH ISO 9717; Jet№ 0.529831.R; Кол-во: 92шт: Вес общий :0,143тн;  Упаковочное место:71209 (95%)</t>
  </si>
  <si>
    <t>Винт с шестигранной головкой ISO 4017 M24X100-8.8-AS, обработанный в соответствии со стандартом DAN 3.210.001; Jet№ 0.000315.L; Кол-во: 8шт: Вес общий :0,0124тн;  Упаковочное место:71209 (95%)</t>
  </si>
  <si>
    <t>Пружинная стопорная шайба UNI 1751 -B4-44 HRC и 49 HRC-сталь-фосфатированная MNPH ISO 9717; Jet№ 0.001291.G; Кол-во: 2шт: Вес общий :0,00311тн;  Упаковочное место:71209 (95%)</t>
  </si>
  <si>
    <t>Шестигранная стандартная гайка ISO 4032 M4-8-AS, обработанная в соответствии со стандартом DAN 3.220.001; Jet№ 0.001071.F; Кол-во: 2шт: Вес общий :0,00311тн;  Упаковочное место:71209 (95%)</t>
  </si>
  <si>
    <t>Шлаковый желоб; Jet№ 7.518571.X; Кол-во: 1шт: Вес общий :3,329тн;  Упаковочное место:71208 (30%)</t>
  </si>
  <si>
    <t>Вес 30% от объема: 33,781тн.= 10,1343тн
Вес 95% от объема: 11,443тн.= 10,870тн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</si>
</sst>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</cellXfs>
  <cellStyles count="3">
    <cellStyle name="Обычный" xfId="0" builtinId="0"/>
    <cellStyle name="Обычный 5" xfId="2" xr:uid="{42B72CBB-9AC2-4C6F-B30B-BD15E014733D}"/>
    <cellStyle name="Обычный_Пример акта" xfId="1" xr:uid="{4E565791-E2AF-4A26-9314-62D18B59F2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4565-BFDE-4E25-9F13-63CB8FC77F93}">
  <sheetPr>
    <pageSetUpPr fitToPage="1"/>
  </sheetPr>
  <dimension ref="A1:N85"/>
  <sheetViews>
    <sheetView tabSelected="1" view="pageBreakPreview" zoomScale="70" zoomScaleNormal="70" zoomScaleSheetLayoutView="70" workbookViewId="0">
      <selection activeCell="H17" sqref="H17"/>
    </sheetView>
  </sheetViews>
  <sheetFormatPr defaultColWidth="8.88671875"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3" t="s">
        <v>4</v>
      </c>
      <c r="E3" s="53"/>
      <c r="F3" s="53"/>
    </row>
    <row r="4" spans="1:6" ht="21.6" customHeight="1" x14ac:dyDescent="0.25">
      <c r="A4" s="11"/>
      <c r="B4" s="12" t="s">
        <v>5</v>
      </c>
      <c r="C4" s="13"/>
      <c r="D4" s="54" t="s">
        <v>6</v>
      </c>
      <c r="E4" s="54"/>
      <c r="F4" s="54"/>
    </row>
    <row r="5" spans="1:6" ht="27" customHeight="1" thickBot="1" x14ac:dyDescent="0.35">
      <c r="A5" s="14"/>
      <c r="B5" s="15" t="s">
        <v>7</v>
      </c>
      <c r="C5" s="10"/>
      <c r="D5" s="55" t="s">
        <v>8</v>
      </c>
      <c r="E5" s="55"/>
      <c r="F5" s="55"/>
    </row>
    <row r="6" spans="1:6" ht="21.6" customHeight="1" x14ac:dyDescent="0.25">
      <c r="A6" s="16"/>
      <c r="B6" s="12" t="s">
        <v>9</v>
      </c>
      <c r="C6" s="13"/>
      <c r="D6" s="56" t="s">
        <v>10</v>
      </c>
      <c r="E6" s="56"/>
      <c r="F6" s="56"/>
    </row>
    <row r="7" spans="1:6" ht="18.75" customHeight="1" x14ac:dyDescent="0.3">
      <c r="A7" s="57"/>
      <c r="B7" s="57"/>
      <c r="C7" s="57"/>
      <c r="D7" s="57"/>
      <c r="E7" s="57"/>
      <c r="F7" s="57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43</v>
      </c>
      <c r="C10" s="16"/>
      <c r="D10" s="71" t="s">
        <v>45</v>
      </c>
      <c r="E10" s="72"/>
      <c r="F10" s="72"/>
    </row>
    <row r="11" spans="1:6" ht="14.1" customHeight="1" x14ac:dyDescent="0.25">
      <c r="A11" s="16"/>
      <c r="B11" s="19" t="s">
        <v>13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3" t="s">
        <v>41</v>
      </c>
      <c r="B15" s="43"/>
      <c r="C15" s="43"/>
      <c r="D15" s="43"/>
      <c r="E15" s="43"/>
      <c r="F15" s="43"/>
    </row>
    <row r="16" spans="1:6" ht="21.6" customHeight="1" x14ac:dyDescent="0.25">
      <c r="A16" s="43" t="s">
        <v>42</v>
      </c>
      <c r="B16" s="44"/>
      <c r="C16" s="44"/>
      <c r="D16" s="44"/>
      <c r="E16" s="44"/>
      <c r="F16" s="44"/>
    </row>
    <row r="17" spans="1:6" ht="126.6" customHeight="1" x14ac:dyDescent="0.25">
      <c r="A17" s="21" t="s">
        <v>14</v>
      </c>
      <c r="B17" s="22" t="s">
        <v>15</v>
      </c>
      <c r="C17" s="23" t="s">
        <v>16</v>
      </c>
      <c r="D17" s="45" t="s">
        <v>17</v>
      </c>
      <c r="E17" s="46"/>
      <c r="F17" s="47"/>
    </row>
    <row r="18" spans="1:6" ht="58.8" customHeight="1" x14ac:dyDescent="0.25">
      <c r="A18" s="21">
        <v>1</v>
      </c>
      <c r="B18" s="36" t="s">
        <v>51</v>
      </c>
      <c r="C18" s="48" t="s">
        <v>44</v>
      </c>
      <c r="D18" s="50" t="s">
        <v>18</v>
      </c>
      <c r="E18" s="51"/>
      <c r="F18" s="52"/>
    </row>
    <row r="19" spans="1:6" ht="58.8" customHeight="1" x14ac:dyDescent="0.25">
      <c r="A19" s="21">
        <v>2</v>
      </c>
      <c r="B19" s="36" t="s">
        <v>52</v>
      </c>
      <c r="C19" s="49"/>
      <c r="D19" s="37"/>
      <c r="E19" s="38"/>
      <c r="F19" s="39"/>
    </row>
    <row r="20" spans="1:6" ht="58.8" customHeight="1" x14ac:dyDescent="0.25">
      <c r="A20" s="21">
        <v>3</v>
      </c>
      <c r="B20" s="36" t="s">
        <v>46</v>
      </c>
      <c r="C20" s="49"/>
      <c r="D20" s="37"/>
      <c r="E20" s="38"/>
      <c r="F20" s="39"/>
    </row>
    <row r="21" spans="1:6" ht="58.8" customHeight="1" x14ac:dyDescent="0.25">
      <c r="A21" s="21">
        <v>4</v>
      </c>
      <c r="B21" s="36" t="s">
        <v>47</v>
      </c>
      <c r="C21" s="49"/>
      <c r="D21" s="37"/>
      <c r="E21" s="38"/>
      <c r="F21" s="39"/>
    </row>
    <row r="22" spans="1:6" ht="58.8" customHeight="1" x14ac:dyDescent="0.25">
      <c r="A22" s="21">
        <v>5</v>
      </c>
      <c r="B22" s="36" t="s">
        <v>48</v>
      </c>
      <c r="C22" s="49"/>
      <c r="D22" s="24"/>
      <c r="E22" s="34"/>
      <c r="F22" s="35"/>
    </row>
    <row r="23" spans="1:6" ht="58.8" customHeight="1" x14ac:dyDescent="0.25">
      <c r="A23" s="21">
        <v>6</v>
      </c>
      <c r="B23" s="36" t="s">
        <v>48</v>
      </c>
      <c r="C23" s="25"/>
      <c r="D23" s="24"/>
      <c r="E23" s="34"/>
      <c r="F23" s="35"/>
    </row>
    <row r="24" spans="1:6" ht="58.8" customHeight="1" x14ac:dyDescent="0.25">
      <c r="A24" s="21">
        <v>7</v>
      </c>
      <c r="B24" s="36" t="s">
        <v>49</v>
      </c>
      <c r="C24" s="25"/>
      <c r="D24" s="24"/>
      <c r="E24" s="34"/>
      <c r="F24" s="35"/>
    </row>
    <row r="25" spans="1:6" ht="58.8" customHeight="1" x14ac:dyDescent="0.25">
      <c r="A25" s="21">
        <v>8</v>
      </c>
      <c r="B25" s="36" t="s">
        <v>50</v>
      </c>
      <c r="C25" s="25"/>
      <c r="D25" s="24"/>
      <c r="E25" s="34"/>
      <c r="F25" s="35"/>
    </row>
    <row r="26" spans="1:6" ht="58.8" customHeight="1" x14ac:dyDescent="0.25">
      <c r="A26" s="21">
        <v>9</v>
      </c>
      <c r="B26" s="36" t="s">
        <v>53</v>
      </c>
      <c r="C26" s="25"/>
      <c r="D26" s="24"/>
      <c r="E26" s="34"/>
      <c r="F26" s="35"/>
    </row>
    <row r="27" spans="1:6" ht="58.8" customHeight="1" x14ac:dyDescent="0.25">
      <c r="A27" s="21">
        <v>10</v>
      </c>
      <c r="B27" s="36" t="s">
        <v>53</v>
      </c>
      <c r="C27" s="25"/>
      <c r="D27" s="24"/>
      <c r="E27" s="34"/>
      <c r="F27" s="35"/>
    </row>
    <row r="28" spans="1:6" ht="58.8" customHeight="1" x14ac:dyDescent="0.25">
      <c r="A28" s="21">
        <v>11</v>
      </c>
      <c r="B28" s="36" t="s">
        <v>54</v>
      </c>
      <c r="C28" s="25"/>
      <c r="D28" s="24"/>
      <c r="E28" s="34"/>
      <c r="F28" s="35"/>
    </row>
    <row r="29" spans="1:6" ht="58.8" customHeight="1" x14ac:dyDescent="0.25">
      <c r="A29" s="21">
        <v>12</v>
      </c>
      <c r="B29" s="36" t="s">
        <v>54</v>
      </c>
      <c r="C29" s="25"/>
      <c r="D29" s="24"/>
      <c r="E29" s="34"/>
      <c r="F29" s="35"/>
    </row>
    <row r="30" spans="1:6" ht="58.8" customHeight="1" x14ac:dyDescent="0.25">
      <c r="A30" s="21">
        <v>13</v>
      </c>
      <c r="B30" s="36" t="s">
        <v>55</v>
      </c>
      <c r="C30" s="25"/>
      <c r="D30" s="24"/>
      <c r="E30" s="34"/>
      <c r="F30" s="35"/>
    </row>
    <row r="31" spans="1:6" ht="58.8" customHeight="1" x14ac:dyDescent="0.25">
      <c r="A31" s="21">
        <v>14</v>
      </c>
      <c r="B31" s="36" t="s">
        <v>56</v>
      </c>
      <c r="C31" s="25"/>
      <c r="D31" s="24"/>
      <c r="E31" s="34"/>
      <c r="F31" s="35"/>
    </row>
    <row r="32" spans="1:6" ht="58.8" customHeight="1" x14ac:dyDescent="0.25">
      <c r="A32" s="21">
        <v>15</v>
      </c>
      <c r="B32" s="36" t="s">
        <v>57</v>
      </c>
      <c r="C32" s="25"/>
      <c r="D32" s="24"/>
      <c r="E32" s="34"/>
      <c r="F32" s="35"/>
    </row>
    <row r="33" spans="1:6" ht="58.8" customHeight="1" x14ac:dyDescent="0.25">
      <c r="A33" s="21">
        <v>16</v>
      </c>
      <c r="B33" s="36" t="s">
        <v>58</v>
      </c>
      <c r="C33" s="25"/>
      <c r="D33" s="24"/>
      <c r="E33" s="34"/>
      <c r="F33" s="35"/>
    </row>
    <row r="34" spans="1:6" ht="58.8" customHeight="1" x14ac:dyDescent="0.25">
      <c r="A34" s="21">
        <v>17</v>
      </c>
      <c r="B34" s="36" t="s">
        <v>59</v>
      </c>
      <c r="C34" s="25"/>
      <c r="D34" s="24"/>
      <c r="E34" s="34"/>
      <c r="F34" s="35"/>
    </row>
    <row r="35" spans="1:6" ht="58.8" customHeight="1" x14ac:dyDescent="0.25">
      <c r="A35" s="21">
        <v>18</v>
      </c>
      <c r="B35" s="36" t="s">
        <v>60</v>
      </c>
      <c r="C35" s="25"/>
      <c r="D35" s="24"/>
      <c r="E35" s="34"/>
      <c r="F35" s="35"/>
    </row>
    <row r="36" spans="1:6" ht="58.8" customHeight="1" x14ac:dyDescent="0.25">
      <c r="A36" s="21">
        <v>19</v>
      </c>
      <c r="B36" s="36" t="s">
        <v>61</v>
      </c>
      <c r="C36" s="25"/>
      <c r="D36" s="24"/>
      <c r="E36" s="34"/>
      <c r="F36" s="35"/>
    </row>
    <row r="37" spans="1:6" ht="58.8" customHeight="1" x14ac:dyDescent="0.25">
      <c r="A37" s="21">
        <v>20</v>
      </c>
      <c r="B37" s="36" t="s">
        <v>62</v>
      </c>
      <c r="C37" s="25"/>
      <c r="D37" s="24"/>
      <c r="E37" s="34"/>
      <c r="F37" s="35"/>
    </row>
    <row r="38" spans="1:6" ht="58.8" customHeight="1" x14ac:dyDescent="0.25">
      <c r="A38" s="21">
        <v>21</v>
      </c>
      <c r="B38" s="36" t="s">
        <v>63</v>
      </c>
      <c r="C38" s="25"/>
      <c r="D38" s="24"/>
      <c r="E38" s="34"/>
      <c r="F38" s="35"/>
    </row>
    <row r="39" spans="1:6" ht="58.8" customHeight="1" x14ac:dyDescent="0.25">
      <c r="A39" s="21">
        <v>22</v>
      </c>
      <c r="B39" s="36" t="s">
        <v>64</v>
      </c>
      <c r="C39" s="25"/>
      <c r="D39" s="24"/>
      <c r="E39" s="34"/>
      <c r="F39" s="35"/>
    </row>
    <row r="40" spans="1:6" ht="58.8" customHeight="1" x14ac:dyDescent="0.25">
      <c r="A40" s="21">
        <v>23</v>
      </c>
      <c r="B40" s="36" t="s">
        <v>65</v>
      </c>
      <c r="C40" s="25"/>
      <c r="D40" s="24"/>
      <c r="E40" s="34"/>
      <c r="F40" s="35"/>
    </row>
    <row r="41" spans="1:6" ht="58.8" customHeight="1" x14ac:dyDescent="0.25">
      <c r="A41" s="21">
        <v>24</v>
      </c>
      <c r="B41" s="36" t="s">
        <v>66</v>
      </c>
      <c r="C41" s="25"/>
      <c r="D41" s="24"/>
      <c r="E41" s="34"/>
      <c r="F41" s="35"/>
    </row>
    <row r="42" spans="1:6" ht="58.8" customHeight="1" x14ac:dyDescent="0.25">
      <c r="A42" s="21">
        <v>25</v>
      </c>
      <c r="B42" s="36" t="s">
        <v>99</v>
      </c>
      <c r="C42" s="25"/>
      <c r="D42" s="24"/>
      <c r="E42" s="34"/>
      <c r="F42" s="35"/>
    </row>
    <row r="43" spans="1:6" ht="58.8" customHeight="1" x14ac:dyDescent="0.25">
      <c r="A43" s="21">
        <v>26</v>
      </c>
      <c r="B43" s="36" t="s">
        <v>67</v>
      </c>
      <c r="C43" s="25"/>
      <c r="D43" s="24"/>
      <c r="E43" s="34"/>
      <c r="F43" s="35"/>
    </row>
    <row r="44" spans="1:6" ht="58.8" customHeight="1" x14ac:dyDescent="0.25">
      <c r="A44" s="21">
        <v>27</v>
      </c>
      <c r="B44" s="36" t="s">
        <v>68</v>
      </c>
      <c r="C44" s="25"/>
      <c r="D44" s="24"/>
      <c r="E44" s="34"/>
      <c r="F44" s="35"/>
    </row>
    <row r="45" spans="1:6" ht="58.8" customHeight="1" x14ac:dyDescent="0.25">
      <c r="A45" s="21">
        <v>28</v>
      </c>
      <c r="B45" s="36" t="s">
        <v>69</v>
      </c>
      <c r="C45" s="25"/>
      <c r="D45" s="24"/>
      <c r="E45" s="34"/>
      <c r="F45" s="35"/>
    </row>
    <row r="46" spans="1:6" ht="58.8" customHeight="1" x14ac:dyDescent="0.25">
      <c r="A46" s="21">
        <v>29</v>
      </c>
      <c r="B46" s="36" t="s">
        <v>70</v>
      </c>
      <c r="C46" s="25"/>
      <c r="D46" s="24"/>
      <c r="E46" s="34"/>
      <c r="F46" s="35"/>
    </row>
    <row r="47" spans="1:6" ht="58.8" customHeight="1" x14ac:dyDescent="0.25">
      <c r="A47" s="21">
        <v>30</v>
      </c>
      <c r="B47" s="36" t="s">
        <v>71</v>
      </c>
      <c r="C47" s="25"/>
      <c r="D47" s="24"/>
      <c r="E47" s="34"/>
      <c r="F47" s="35"/>
    </row>
    <row r="48" spans="1:6" ht="58.8" customHeight="1" x14ac:dyDescent="0.25">
      <c r="A48" s="21">
        <v>31</v>
      </c>
      <c r="B48" s="36" t="s">
        <v>72</v>
      </c>
      <c r="C48" s="25"/>
      <c r="D48" s="24"/>
      <c r="E48" s="34"/>
      <c r="F48" s="35"/>
    </row>
    <row r="49" spans="1:6" ht="58.8" customHeight="1" x14ac:dyDescent="0.25">
      <c r="A49" s="21">
        <v>32</v>
      </c>
      <c r="B49" s="36" t="s">
        <v>73</v>
      </c>
      <c r="C49" s="25"/>
      <c r="D49" s="24"/>
      <c r="E49" s="34"/>
      <c r="F49" s="35"/>
    </row>
    <row r="50" spans="1:6" ht="58.8" customHeight="1" x14ac:dyDescent="0.25">
      <c r="A50" s="21">
        <v>33</v>
      </c>
      <c r="B50" s="36" t="s">
        <v>74</v>
      </c>
      <c r="C50" s="25"/>
      <c r="D50" s="24"/>
      <c r="E50" s="34"/>
      <c r="F50" s="35"/>
    </row>
    <row r="51" spans="1:6" ht="58.8" customHeight="1" x14ac:dyDescent="0.25">
      <c r="A51" s="21">
        <v>34</v>
      </c>
      <c r="B51" s="36" t="s">
        <v>75</v>
      </c>
      <c r="C51" s="25"/>
      <c r="D51" s="24"/>
      <c r="E51" s="34"/>
      <c r="F51" s="35"/>
    </row>
    <row r="52" spans="1:6" ht="58.8" customHeight="1" x14ac:dyDescent="0.25">
      <c r="A52" s="21">
        <v>35</v>
      </c>
      <c r="B52" s="36" t="s">
        <v>76</v>
      </c>
      <c r="C52" s="25"/>
      <c r="D52" s="37"/>
      <c r="E52" s="38"/>
      <c r="F52" s="39"/>
    </row>
    <row r="53" spans="1:6" ht="58.8" customHeight="1" x14ac:dyDescent="0.25">
      <c r="A53" s="21">
        <v>36</v>
      </c>
      <c r="B53" s="36" t="s">
        <v>77</v>
      </c>
      <c r="C53" s="25"/>
      <c r="D53" s="37"/>
      <c r="E53" s="38"/>
      <c r="F53" s="39"/>
    </row>
    <row r="54" spans="1:6" ht="58.8" customHeight="1" x14ac:dyDescent="0.25">
      <c r="A54" s="21">
        <v>37</v>
      </c>
      <c r="B54" s="36" t="s">
        <v>78</v>
      </c>
      <c r="C54" s="25"/>
      <c r="D54" s="37"/>
      <c r="E54" s="38"/>
      <c r="F54" s="39"/>
    </row>
    <row r="55" spans="1:6" ht="58.8" customHeight="1" x14ac:dyDescent="0.25">
      <c r="A55" s="21">
        <v>38</v>
      </c>
      <c r="B55" s="36" t="s">
        <v>79</v>
      </c>
      <c r="C55" s="25"/>
      <c r="D55" s="37"/>
      <c r="E55" s="38"/>
      <c r="F55" s="39"/>
    </row>
    <row r="56" spans="1:6" ht="58.8" customHeight="1" x14ac:dyDescent="0.25">
      <c r="A56" s="21">
        <v>39</v>
      </c>
      <c r="B56" s="36" t="s">
        <v>80</v>
      </c>
      <c r="C56" s="25"/>
      <c r="D56" s="37"/>
      <c r="E56" s="38"/>
      <c r="F56" s="39"/>
    </row>
    <row r="57" spans="1:6" ht="58.8" customHeight="1" x14ac:dyDescent="0.25">
      <c r="A57" s="21">
        <v>40</v>
      </c>
      <c r="B57" s="36" t="s">
        <v>81</v>
      </c>
      <c r="C57" s="25"/>
      <c r="D57" s="37"/>
      <c r="E57" s="38"/>
      <c r="F57" s="39"/>
    </row>
    <row r="58" spans="1:6" ht="58.8" customHeight="1" x14ac:dyDescent="0.25">
      <c r="A58" s="21">
        <v>41</v>
      </c>
      <c r="B58" s="36" t="s">
        <v>82</v>
      </c>
      <c r="C58" s="25"/>
      <c r="D58" s="37"/>
      <c r="E58" s="38"/>
      <c r="F58" s="39"/>
    </row>
    <row r="59" spans="1:6" ht="58.8" customHeight="1" x14ac:dyDescent="0.25">
      <c r="A59" s="21">
        <v>42</v>
      </c>
      <c r="B59" s="36" t="s">
        <v>83</v>
      </c>
      <c r="C59" s="25"/>
      <c r="D59" s="37"/>
      <c r="E59" s="38"/>
      <c r="F59" s="39"/>
    </row>
    <row r="60" spans="1:6" ht="58.8" customHeight="1" x14ac:dyDescent="0.25">
      <c r="A60" s="21">
        <v>43</v>
      </c>
      <c r="B60" s="36" t="s">
        <v>84</v>
      </c>
      <c r="C60" s="25"/>
      <c r="D60" s="37"/>
      <c r="E60" s="38"/>
      <c r="F60" s="39"/>
    </row>
    <row r="61" spans="1:6" ht="58.8" customHeight="1" x14ac:dyDescent="0.25">
      <c r="A61" s="21">
        <v>44</v>
      </c>
      <c r="B61" s="36" t="s">
        <v>85</v>
      </c>
      <c r="C61" s="25"/>
      <c r="D61" s="37"/>
      <c r="E61" s="38"/>
      <c r="F61" s="39"/>
    </row>
    <row r="62" spans="1:6" ht="58.8" customHeight="1" x14ac:dyDescent="0.25">
      <c r="A62" s="21">
        <v>45</v>
      </c>
      <c r="B62" s="36" t="s">
        <v>86</v>
      </c>
      <c r="C62" s="25"/>
      <c r="D62" s="37"/>
      <c r="E62" s="38"/>
      <c r="F62" s="39"/>
    </row>
    <row r="63" spans="1:6" ht="58.8" customHeight="1" x14ac:dyDescent="0.25">
      <c r="A63" s="21">
        <v>46</v>
      </c>
      <c r="B63" s="36" t="s">
        <v>87</v>
      </c>
      <c r="C63" s="25"/>
      <c r="D63" s="37"/>
      <c r="E63" s="38"/>
      <c r="F63" s="39"/>
    </row>
    <row r="64" spans="1:6" ht="58.8" customHeight="1" x14ac:dyDescent="0.25">
      <c r="A64" s="21">
        <v>47</v>
      </c>
      <c r="B64" s="36" t="s">
        <v>88</v>
      </c>
      <c r="C64" s="25"/>
      <c r="D64" s="37"/>
      <c r="E64" s="38"/>
      <c r="F64" s="39"/>
    </row>
    <row r="65" spans="1:14" ht="58.8" customHeight="1" x14ac:dyDescent="0.25">
      <c r="A65" s="21">
        <v>48</v>
      </c>
      <c r="B65" s="36" t="s">
        <v>89</v>
      </c>
      <c r="C65" s="25"/>
      <c r="D65" s="37"/>
      <c r="E65" s="38"/>
      <c r="F65" s="39"/>
    </row>
    <row r="66" spans="1:14" ht="58.8" customHeight="1" x14ac:dyDescent="0.25">
      <c r="A66" s="21">
        <v>49</v>
      </c>
      <c r="B66" s="36" t="s">
        <v>90</v>
      </c>
      <c r="C66" s="25"/>
      <c r="D66" s="37"/>
      <c r="E66" s="38"/>
      <c r="F66" s="39"/>
    </row>
    <row r="67" spans="1:14" ht="58.8" customHeight="1" x14ac:dyDescent="0.25">
      <c r="A67" s="21">
        <v>50</v>
      </c>
      <c r="B67" s="36" t="s">
        <v>91</v>
      </c>
      <c r="C67" s="25"/>
      <c r="D67" s="37"/>
      <c r="E67" s="38"/>
      <c r="F67" s="39"/>
    </row>
    <row r="68" spans="1:14" ht="58.8" customHeight="1" x14ac:dyDescent="0.25">
      <c r="A68" s="21">
        <v>51</v>
      </c>
      <c r="B68" s="36" t="s">
        <v>92</v>
      </c>
      <c r="C68" s="25"/>
      <c r="D68" s="37"/>
      <c r="E68" s="38"/>
      <c r="F68" s="39"/>
    </row>
    <row r="69" spans="1:14" ht="58.8" customHeight="1" x14ac:dyDescent="0.25">
      <c r="A69" s="21">
        <v>52</v>
      </c>
      <c r="B69" s="36" t="s">
        <v>93</v>
      </c>
      <c r="C69" s="25"/>
      <c r="D69" s="37"/>
      <c r="E69" s="38"/>
      <c r="F69" s="39"/>
    </row>
    <row r="70" spans="1:14" ht="58.8" customHeight="1" x14ac:dyDescent="0.25">
      <c r="A70" s="21">
        <v>53</v>
      </c>
      <c r="B70" s="36" t="s">
        <v>94</v>
      </c>
      <c r="C70" s="25"/>
      <c r="D70" s="37"/>
      <c r="E70" s="38"/>
      <c r="F70" s="39"/>
    </row>
    <row r="71" spans="1:14" ht="58.8" customHeight="1" x14ac:dyDescent="0.25">
      <c r="A71" s="21">
        <v>54</v>
      </c>
      <c r="B71" s="36" t="s">
        <v>95</v>
      </c>
      <c r="C71" s="25"/>
      <c r="D71" s="37"/>
      <c r="E71" s="38"/>
      <c r="F71" s="39"/>
    </row>
    <row r="72" spans="1:14" ht="58.8" customHeight="1" x14ac:dyDescent="0.25">
      <c r="A72" s="21">
        <v>55</v>
      </c>
      <c r="B72" s="36" t="s">
        <v>96</v>
      </c>
      <c r="C72" s="25"/>
      <c r="D72" s="37"/>
      <c r="E72" s="38"/>
      <c r="F72" s="39"/>
    </row>
    <row r="73" spans="1:14" ht="58.8" customHeight="1" x14ac:dyDescent="0.25">
      <c r="A73" s="21">
        <v>56</v>
      </c>
      <c r="B73" s="36" t="s">
        <v>97</v>
      </c>
      <c r="C73" s="25"/>
      <c r="D73" s="37"/>
      <c r="E73" s="38"/>
      <c r="F73" s="39"/>
    </row>
    <row r="74" spans="1:14" ht="58.8" customHeight="1" x14ac:dyDescent="0.25">
      <c r="A74" s="21">
        <v>57</v>
      </c>
      <c r="B74" s="36" t="s">
        <v>97</v>
      </c>
      <c r="C74" s="25"/>
      <c r="D74" s="37"/>
      <c r="E74" s="38"/>
      <c r="F74" s="39"/>
    </row>
    <row r="75" spans="1:14" ht="58.8" customHeight="1" x14ac:dyDescent="0.25">
      <c r="A75" s="21">
        <v>58</v>
      </c>
      <c r="B75" s="36" t="s">
        <v>98</v>
      </c>
      <c r="C75" s="25"/>
      <c r="D75" s="37"/>
      <c r="E75" s="38"/>
      <c r="F75" s="39"/>
    </row>
    <row r="76" spans="1:14" ht="58.8" customHeight="1" x14ac:dyDescent="0.25">
      <c r="A76" s="21">
        <v>59</v>
      </c>
      <c r="B76" s="36" t="s">
        <v>98</v>
      </c>
      <c r="C76" s="25"/>
      <c r="D76" s="40"/>
      <c r="E76" s="41"/>
      <c r="F76" s="42"/>
    </row>
    <row r="77" spans="1:14" ht="45" customHeight="1" x14ac:dyDescent="0.25">
      <c r="A77" s="58" t="s">
        <v>100</v>
      </c>
      <c r="B77" s="59"/>
      <c r="C77" s="59"/>
      <c r="D77" s="59"/>
      <c r="E77" s="59"/>
      <c r="F77" s="60"/>
      <c r="G77" s="5">
        <f>11.443*0.95</f>
        <v>10.870849999999999</v>
      </c>
    </row>
    <row r="78" spans="1:14" ht="34.200000000000003" customHeight="1" x14ac:dyDescent="0.25">
      <c r="A78" s="61" t="s">
        <v>19</v>
      </c>
      <c r="B78" s="62"/>
      <c r="C78" s="45" t="s">
        <v>20</v>
      </c>
      <c r="D78" s="46"/>
      <c r="E78" s="46"/>
      <c r="F78" s="46"/>
    </row>
    <row r="79" spans="1:14" ht="33" customHeight="1" x14ac:dyDescent="0.25">
      <c r="A79" s="63"/>
      <c r="B79" s="64"/>
      <c r="C79" s="23" t="s">
        <v>21</v>
      </c>
      <c r="D79" s="45" t="s">
        <v>22</v>
      </c>
      <c r="E79" s="47"/>
      <c r="F79" s="26" t="s">
        <v>23</v>
      </c>
      <c r="L79" s="27"/>
    </row>
    <row r="80" spans="1:14" ht="42" customHeight="1" x14ac:dyDescent="0.25">
      <c r="A80" s="65" t="s">
        <v>24</v>
      </c>
      <c r="B80" s="65"/>
      <c r="C80" s="28" t="s">
        <v>25</v>
      </c>
      <c r="D80" s="66" t="s">
        <v>26</v>
      </c>
      <c r="E80" s="67"/>
      <c r="F80" s="29"/>
      <c r="L80" s="30"/>
      <c r="N80" s="31"/>
    </row>
    <row r="81" spans="1:12" ht="42" customHeight="1" x14ac:dyDescent="0.25">
      <c r="A81" s="65" t="s">
        <v>4</v>
      </c>
      <c r="B81" s="65"/>
      <c r="C81" s="28" t="s">
        <v>27</v>
      </c>
      <c r="D81" s="66" t="s">
        <v>28</v>
      </c>
      <c r="E81" s="67"/>
      <c r="F81" s="29"/>
      <c r="G81" s="28" t="s">
        <v>29</v>
      </c>
      <c r="H81" s="32" t="s">
        <v>30</v>
      </c>
      <c r="I81" s="28" t="s">
        <v>27</v>
      </c>
      <c r="J81" s="32" t="s">
        <v>28</v>
      </c>
      <c r="K81" s="32"/>
      <c r="L81" s="33"/>
    </row>
    <row r="82" spans="1:12" ht="42" customHeight="1" x14ac:dyDescent="0.25">
      <c r="A82" s="65" t="s">
        <v>4</v>
      </c>
      <c r="B82" s="65"/>
      <c r="C82" s="28" t="s">
        <v>31</v>
      </c>
      <c r="D82" s="66" t="s">
        <v>32</v>
      </c>
      <c r="E82" s="67"/>
      <c r="F82" s="29"/>
    </row>
    <row r="83" spans="1:12" ht="42" customHeight="1" x14ac:dyDescent="0.25">
      <c r="A83" s="65" t="s">
        <v>33</v>
      </c>
      <c r="B83" s="65"/>
      <c r="C83" s="28" t="s">
        <v>34</v>
      </c>
      <c r="D83" s="69" t="s">
        <v>35</v>
      </c>
      <c r="E83" s="70"/>
      <c r="F83" s="29"/>
    </row>
    <row r="84" spans="1:12" ht="42" customHeight="1" x14ac:dyDescent="0.25">
      <c r="A84" s="68" t="s">
        <v>8</v>
      </c>
      <c r="B84" s="68"/>
      <c r="C84" s="28" t="s">
        <v>36</v>
      </c>
      <c r="D84" s="66" t="s">
        <v>37</v>
      </c>
      <c r="E84" s="67"/>
      <c r="F84" s="29"/>
    </row>
    <row r="85" spans="1:12" ht="42" customHeight="1" x14ac:dyDescent="0.25">
      <c r="A85" s="68" t="s">
        <v>38</v>
      </c>
      <c r="B85" s="68"/>
      <c r="C85" s="28" t="s">
        <v>39</v>
      </c>
      <c r="D85" s="66" t="s">
        <v>40</v>
      </c>
      <c r="E85" s="67"/>
      <c r="F85" s="29"/>
    </row>
  </sheetData>
  <mergeCells count="28">
    <mergeCell ref="A84:B84"/>
    <mergeCell ref="D84:E84"/>
    <mergeCell ref="A85:B85"/>
    <mergeCell ref="D85:E85"/>
    <mergeCell ref="A81:B81"/>
    <mergeCell ref="D81:E81"/>
    <mergeCell ref="A82:B82"/>
    <mergeCell ref="D82:E82"/>
    <mergeCell ref="A83:B83"/>
    <mergeCell ref="D83:E83"/>
    <mergeCell ref="A77:F77"/>
    <mergeCell ref="A78:B79"/>
    <mergeCell ref="C78:F78"/>
    <mergeCell ref="D79:E79"/>
    <mergeCell ref="A80:B80"/>
    <mergeCell ref="D80:E80"/>
    <mergeCell ref="D3:F3"/>
    <mergeCell ref="D4:F4"/>
    <mergeCell ref="D5:F5"/>
    <mergeCell ref="D6:F6"/>
    <mergeCell ref="A7:F7"/>
    <mergeCell ref="D52:F76"/>
    <mergeCell ref="D10:F10"/>
    <mergeCell ref="A15:F15"/>
    <mergeCell ref="A16:F16"/>
    <mergeCell ref="D17:F17"/>
    <mergeCell ref="C18:C22"/>
    <mergeCell ref="D18:F21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2026-09-02T11:53:34Z</cp:lastPrinted>
  <dcterms:created xsi:type="dcterms:W3CDTF">2026-05-07T12:03:33Z</dcterms:created>
  <dcterms:modified xsi:type="dcterms:W3CDTF">2026-09-02T11:53:35Z</dcterms:modified>
</cp:coreProperties>
</file>